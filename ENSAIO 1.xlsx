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<sst xmlns="http://schemas.openxmlformats.org/spreadsheetml/2006/main" count="131" uniqueCount="74">
  <si>
    <t xml:space="preserve">Ordem sorteio aleatório</t>
  </si>
  <si>
    <t xml:space="preserve">Espécie</t>
  </si>
  <si>
    <t xml:space="preserve">código</t>
  </si>
  <si>
    <t xml:space="preserve">Rep</t>
  </si>
  <si>
    <t xml:space="preserve">Data</t>
  </si>
  <si>
    <t xml:space="preserve">Radial 1 (mm)</t>
  </si>
  <si>
    <t xml:space="preserve">Radial 2 (mm)</t>
  </si>
  <si>
    <t xml:space="preserve">Longitudinal (mm)</t>
  </si>
  <si>
    <t xml:space="preserve">Massa antes (g)</t>
  </si>
  <si>
    <t xml:space="preserve">Carga Máx (kgf)</t>
  </si>
  <si>
    <t xml:space="preserve">Resistência (MOR) (MPa)</t>
  </si>
  <si>
    <t xml:space="preserve">Massa após ensaio (g)</t>
  </si>
  <si>
    <t xml:space="preserve">Massa (g) seca</t>
  </si>
  <si>
    <t xml:space="preserve">Tensão (carga máx/área)</t>
  </si>
  <si>
    <t xml:space="preserve">Resistência calculada (fc,0) (MPa) =F/A</t>
  </si>
  <si>
    <t xml:space="preserve">Densidade Básica: Refere-se à razão entre a massa seca na estufa e o volume da madeira verde (saturada). É o principal padrão para comparação de espécies, pois o volume verde não sofre contração </t>
  </si>
  <si>
    <t xml:space="preserve">15ª</t>
  </si>
  <si>
    <t xml:space="preserve">Pororoca</t>
  </si>
  <si>
    <t xml:space="preserve">MAD801</t>
  </si>
  <si>
    <t xml:space="preserve">5ª</t>
  </si>
  <si>
    <t xml:space="preserve">Roxinho</t>
  </si>
  <si>
    <t xml:space="preserve">MAD802</t>
  </si>
  <si>
    <t xml:space="preserve">2ª</t>
  </si>
  <si>
    <t xml:space="preserve">Canela</t>
  </si>
  <si>
    <t xml:space="preserve">MAD803</t>
  </si>
  <si>
    <t xml:space="preserve">10ª</t>
  </si>
  <si>
    <t xml:space="preserve">Tamarindo</t>
  </si>
  <si>
    <t xml:space="preserve">MAD804</t>
  </si>
  <si>
    <t xml:space="preserve">14ª</t>
  </si>
  <si>
    <t xml:space="preserve">Caucho</t>
  </si>
  <si>
    <t xml:space="preserve">MAD805</t>
  </si>
  <si>
    <t xml:space="preserve">17ª</t>
  </si>
  <si>
    <t xml:space="preserve">Cumaru</t>
  </si>
  <si>
    <t xml:space="preserve">MAD807</t>
  </si>
  <si>
    <t xml:space="preserve">18ª</t>
  </si>
  <si>
    <t xml:space="preserve">Cedro</t>
  </si>
  <si>
    <t xml:space="preserve">MAD808</t>
  </si>
  <si>
    <t xml:space="preserve">16ª</t>
  </si>
  <si>
    <t xml:space="preserve">Jatobá</t>
  </si>
  <si>
    <t xml:space="preserve">MAD809</t>
  </si>
  <si>
    <t xml:space="preserve">4ª</t>
  </si>
  <si>
    <t xml:space="preserve">Tauari Branco</t>
  </si>
  <si>
    <t xml:space="preserve">MAD810</t>
  </si>
  <si>
    <t xml:space="preserve">11ª</t>
  </si>
  <si>
    <t xml:space="preserve">Uxi</t>
  </si>
  <si>
    <t xml:space="preserve">MAD811</t>
  </si>
  <si>
    <t xml:space="preserve">9ª</t>
  </si>
  <si>
    <t xml:space="preserve">Angelim Pedra</t>
  </si>
  <si>
    <t xml:space="preserve">MAD812</t>
  </si>
  <si>
    <t xml:space="preserve">6ª</t>
  </si>
  <si>
    <t xml:space="preserve">Peroba</t>
  </si>
  <si>
    <t xml:space="preserve">MAD813</t>
  </si>
  <si>
    <t xml:space="preserve">8ª</t>
  </si>
  <si>
    <t xml:space="preserve">Anglim Amagoso</t>
  </si>
  <si>
    <t xml:space="preserve">MAD815</t>
  </si>
  <si>
    <t xml:space="preserve">14.89</t>
  </si>
  <si>
    <t xml:space="preserve">12ª</t>
  </si>
  <si>
    <t xml:space="preserve">Angelim coco</t>
  </si>
  <si>
    <t xml:space="preserve">MAD816</t>
  </si>
  <si>
    <t xml:space="preserve">3ª</t>
  </si>
  <si>
    <t xml:space="preserve">Cataúba</t>
  </si>
  <si>
    <t xml:space="preserve">MAD817</t>
  </si>
  <si>
    <t xml:space="preserve">7ª</t>
  </si>
  <si>
    <t xml:space="preserve">Guariúba</t>
  </si>
  <si>
    <t xml:space="preserve">MAD818</t>
  </si>
  <si>
    <t xml:space="preserve">1ª</t>
  </si>
  <si>
    <t xml:space="preserve">Caxeta</t>
  </si>
  <si>
    <t xml:space="preserve">MAD819</t>
  </si>
  <si>
    <t xml:space="preserve">19ª</t>
  </si>
  <si>
    <t xml:space="preserve">Garapeira</t>
  </si>
  <si>
    <t xml:space="preserve">MAD820</t>
  </si>
  <si>
    <t xml:space="preserve">13ª</t>
  </si>
  <si>
    <t xml:space="preserve">Abiurana</t>
  </si>
  <si>
    <t xml:space="preserve">MAD823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</si>
</sst>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0.00000"/>
    <numFmt numFmtId="167" formatCode="d/mmm"/>
    <numFmt numFmtId="168" formatCode="0"/>
  </numFmts>
  <fonts count="9">
    <font>
      <sz val="11"/>
      <color theme="1"/>
      <name val="Aptos Narrow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  <font>
      <b val="true"/>
      <sz val="11"/>
      <color rgb="FF000000"/>
      <name val="Aptos Narrow"/>
      <family val="2"/>
      <charset val="1"/>
    </font>
    <font>
      <b val="true"/>
      <sz val="9"/>
      <color theme="1"/>
      <name val="Aptos Narrow"/>
      <family val="0"/>
      <charset val="1"/>
    </font>
    <font>
      <sz val="11"/>
      <color theme="1"/>
      <name val="Symbol"/>
      <family val="0"/>
      <charset val="1"/>
    </font>
    <font>
      <sz val="11"/>
      <color theme="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 pitchFamily="0" charset="1"/>
        <a:ea typeface="Aptos Narrow" pitchFamily="0" charset="1"/>
        <a:cs typeface="Aptos Narrow" pitchFamily="0" charset="1"/>
      </a:majorFont>
      <a:minorFont>
        <a:latin typeface="Aptos Narrow" pitchFamily="0" charset="1"/>
        <a:ea typeface="Aptos Narrow" pitchFamily="0" charset="1"/>
        <a:cs typeface="Aptos Narrow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O1" activeCellId="0" sqref="O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1" width="7.72"/>
    <col collapsed="false" customWidth="true" hidden="false" outlineLevel="0" max="2" min="2" style="1" width="15.17"/>
    <col collapsed="false" customWidth="true" hidden="false" outlineLevel="0" max="3" min="3" style="1" width="8.25"/>
    <col collapsed="false" customWidth="true" hidden="false" outlineLevel="0" max="4" min="4" style="1" width="4.63"/>
    <col collapsed="false" customWidth="true" hidden="false" outlineLevel="0" max="5" min="5" style="1" width="6.63"/>
    <col collapsed="false" customWidth="true" hidden="false" outlineLevel="0" max="6" min="6" style="1" width="8.63"/>
    <col collapsed="false" customWidth="true" hidden="false" outlineLevel="0" max="7" min="7" style="1" width="9.42"/>
    <col collapsed="false" customWidth="true" hidden="false" outlineLevel="0" max="8" min="8" style="1" width="11.83"/>
    <col collapsed="false" customWidth="true" hidden="false" outlineLevel="0" max="10" min="9" style="1" width="10.73"/>
    <col collapsed="false" customWidth="true" hidden="false" outlineLevel="0" max="11" min="11" style="2" width="10.83"/>
    <col collapsed="false" customWidth="true" hidden="false" outlineLevel="0" max="12" min="12" style="2" width="8.62"/>
    <col collapsed="false" customWidth="true" hidden="false" outlineLevel="0" max="13" min="13" style="1" width="6.92"/>
    <col collapsed="false" customWidth="true" hidden="false" outlineLevel="0" max="14" min="14" style="3" width="11.33"/>
    <col collapsed="false" customWidth="true" hidden="false" outlineLevel="0" max="15" min="15" style="1" width="12.83"/>
    <col collapsed="false" customWidth="true" hidden="false" outlineLevel="0" max="16" min="16" style="1" width="31.69"/>
    <col collapsed="false" customWidth="true" hidden="false" outlineLevel="0" max="17" min="17" style="1" width="8.65"/>
    <col collapsed="false" customWidth="true" hidden="false" outlineLevel="0" max="18" min="18" style="1" width="7.92"/>
    <col collapsed="false" customWidth="true" hidden="false" outlineLevel="0" max="26" min="19" style="1" width="8.63"/>
    <col collapsed="false" customWidth="true" hidden="false" outlineLevel="0" max="16384" min="16384" style="0" width="12.8"/>
  </cols>
  <sheetData>
    <row r="1" customFormat="false" ht="58.2" hidden="false" customHeight="true" outlineLevel="0" collapsed="false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7" t="s">
        <v>14</v>
      </c>
      <c r="P1" s="8" t="s">
        <v>15</v>
      </c>
      <c r="Q1" s="4"/>
      <c r="R1" s="4"/>
      <c r="S1" s="9"/>
      <c r="T1" s="10"/>
      <c r="U1" s="10"/>
      <c r="V1" s="10"/>
      <c r="W1" s="10"/>
      <c r="X1" s="10"/>
      <c r="Y1" s="10"/>
      <c r="Z1" s="10"/>
    </row>
    <row r="2" customFormat="false" ht="15" hidden="false" customHeight="false" outlineLevel="0" collapsed="false">
      <c r="A2" s="10" t="s">
        <v>16</v>
      </c>
      <c r="B2" s="10" t="s">
        <v>17</v>
      </c>
      <c r="C2" s="10" t="s">
        <v>18</v>
      </c>
      <c r="D2" s="10" t="n">
        <v>1</v>
      </c>
      <c r="E2" s="11" t="n">
        <v>46189</v>
      </c>
      <c r="F2" s="12" t="n">
        <v>24.63</v>
      </c>
      <c r="G2" s="12" t="n">
        <v>25.25</v>
      </c>
      <c r="H2" s="12" t="n">
        <v>30.51</v>
      </c>
      <c r="I2" s="12" t="n">
        <v>21.13</v>
      </c>
      <c r="J2" s="10" t="n">
        <v>5364</v>
      </c>
      <c r="K2" s="12" t="n">
        <v>84.5</v>
      </c>
      <c r="L2" s="12" t="n">
        <v>19.94</v>
      </c>
      <c r="M2" s="13" t="n">
        <v>18.67</v>
      </c>
      <c r="N2" s="14" t="n">
        <f aca="false">J2/(F2*G2)</f>
        <v>8.62507688040424</v>
      </c>
      <c r="O2" s="10" t="n">
        <f aca="false">J2/(F2*G2)</f>
        <v>8.62507688040424</v>
      </c>
      <c r="P2" s="10" t="n">
        <f aca="false">M2/(F2*G2*H2)</f>
        <v>0.00098395744477335</v>
      </c>
      <c r="Q2" s="10"/>
      <c r="R2" s="10"/>
      <c r="S2" s="10"/>
      <c r="T2" s="10"/>
      <c r="U2" s="10"/>
      <c r="V2" s="10"/>
      <c r="W2" s="10"/>
      <c r="X2" s="10"/>
      <c r="Y2" s="10"/>
      <c r="Z2" s="10"/>
    </row>
    <row r="3" customFormat="false" ht="15" hidden="false" customHeight="false" outlineLevel="0" collapsed="false">
      <c r="A3" s="10"/>
      <c r="B3" s="10"/>
      <c r="C3" s="10" t="s">
        <v>18</v>
      </c>
      <c r="D3" s="10" t="n">
        <v>2</v>
      </c>
      <c r="E3" s="11" t="n">
        <v>46189</v>
      </c>
      <c r="F3" s="10" t="n">
        <v>25.31</v>
      </c>
      <c r="G3" s="10" t="n">
        <v>25.01</v>
      </c>
      <c r="H3" s="10" t="n">
        <v>30.44</v>
      </c>
      <c r="I3" s="10" t="n">
        <v>19.95</v>
      </c>
      <c r="J3" s="10" t="n">
        <v>5775</v>
      </c>
      <c r="K3" s="12" t="n">
        <v>89.5</v>
      </c>
      <c r="L3" s="12" t="n">
        <v>21.12</v>
      </c>
      <c r="M3" s="13" t="n">
        <v>17.59</v>
      </c>
      <c r="N3" s="14" t="n">
        <f aca="false">J3/(F3*G3)</f>
        <v>9.12317806974405</v>
      </c>
      <c r="O3" s="10" t="n">
        <f aca="false">J3/(F3*G3)</f>
        <v>9.12317806974405</v>
      </c>
      <c r="P3" s="10" t="n">
        <f aca="false">M3/(F3*G3*H3)</f>
        <v>0.000912883493732886</v>
      </c>
      <c r="Q3" s="10"/>
      <c r="R3" s="10"/>
      <c r="S3" s="10"/>
      <c r="T3" s="10"/>
      <c r="U3" s="10"/>
      <c r="V3" s="10"/>
      <c r="W3" s="10"/>
      <c r="X3" s="10"/>
      <c r="Y3" s="10"/>
      <c r="Z3" s="10"/>
    </row>
    <row r="4" customFormat="false" ht="15" hidden="false" customHeight="false" outlineLevel="0" collapsed="false">
      <c r="A4" s="10"/>
      <c r="B4" s="10"/>
      <c r="C4" s="10" t="s">
        <v>18</v>
      </c>
      <c r="D4" s="10" t="n">
        <v>3</v>
      </c>
      <c r="E4" s="11" t="n">
        <v>46191</v>
      </c>
      <c r="F4" s="10" t="n">
        <v>25.33</v>
      </c>
      <c r="G4" s="10" t="n">
        <v>26.52</v>
      </c>
      <c r="H4" s="10" t="n">
        <v>30.34</v>
      </c>
      <c r="I4" s="10" t="n">
        <v>21.98</v>
      </c>
      <c r="J4" s="10" t="n">
        <v>6239</v>
      </c>
      <c r="K4" s="12" t="n">
        <v>91.3</v>
      </c>
      <c r="L4" s="12" t="n">
        <v>21.95</v>
      </c>
      <c r="M4" s="13" t="n">
        <v>19.42</v>
      </c>
      <c r="N4" s="14" t="n">
        <f aca="false">J4/(F4*G4)</f>
        <v>9.28765930739875</v>
      </c>
      <c r="O4" s="10" t="n">
        <f aca="false">J4/(F4*G4)</f>
        <v>9.28765930739875</v>
      </c>
      <c r="P4" s="10" t="n">
        <f aca="false">M4/(F4*G4*H4)</f>
        <v>0.000952850880435175</v>
      </c>
      <c r="Q4" s="10"/>
      <c r="R4" s="10"/>
      <c r="S4" s="10"/>
      <c r="T4" s="10"/>
      <c r="U4" s="10"/>
      <c r="V4" s="10"/>
      <c r="W4" s="10"/>
      <c r="X4" s="10"/>
      <c r="Y4" s="10"/>
      <c r="Z4" s="10"/>
    </row>
    <row r="5" customFormat="false" ht="15" hidden="false" customHeight="false" outlineLevel="0" collapsed="false">
      <c r="A5" s="10"/>
      <c r="B5" s="10"/>
      <c r="C5" s="10" t="s">
        <v>18</v>
      </c>
      <c r="D5" s="10" t="n">
        <v>4</v>
      </c>
      <c r="E5" s="11" t="n">
        <v>46198</v>
      </c>
      <c r="F5" s="10" t="n">
        <v>25.4</v>
      </c>
      <c r="G5" s="10" t="n">
        <v>26.54</v>
      </c>
      <c r="H5" s="10" t="n">
        <v>30.33</v>
      </c>
      <c r="I5" s="10" t="n">
        <v>21.99</v>
      </c>
      <c r="J5" s="10" t="n">
        <v>6464</v>
      </c>
      <c r="K5" s="12" t="n">
        <v>94.2</v>
      </c>
      <c r="L5" s="12" t="n">
        <v>21.98</v>
      </c>
      <c r="M5" s="13" t="n">
        <v>19.45</v>
      </c>
      <c r="N5" s="14" t="n">
        <f aca="false">J5/(F5*G5)</f>
        <v>9.58885414379721</v>
      </c>
      <c r="O5" s="10" t="n">
        <f aca="false">J5/(F5*G5)</f>
        <v>9.58885414379721</v>
      </c>
      <c r="P5" s="10" t="n">
        <f aca="false">M5/(F5*G5*H5)</f>
        <v>0.000951289186812512</v>
      </c>
      <c r="Q5" s="10"/>
      <c r="R5" s="10"/>
      <c r="S5" s="10"/>
      <c r="T5" s="10"/>
      <c r="U5" s="10"/>
      <c r="V5" s="10"/>
      <c r="W5" s="10"/>
      <c r="X5" s="10"/>
      <c r="Y5" s="10"/>
      <c r="Z5" s="10"/>
    </row>
    <row r="6" customFormat="false" ht="15" hidden="false" customHeight="false" outlineLevel="0" collapsed="false">
      <c r="A6" s="10" t="s">
        <v>19</v>
      </c>
      <c r="B6" s="10" t="s">
        <v>20</v>
      </c>
      <c r="C6" s="10" t="s">
        <v>21</v>
      </c>
      <c r="D6" s="10" t="n">
        <v>1</v>
      </c>
      <c r="E6" s="11" t="n">
        <v>46189</v>
      </c>
      <c r="F6" s="12" t="n">
        <v>26.18</v>
      </c>
      <c r="G6" s="12" t="n">
        <v>25.03</v>
      </c>
      <c r="H6" s="12" t="n">
        <v>30.53</v>
      </c>
      <c r="I6" s="12" t="n">
        <v>22.15</v>
      </c>
      <c r="J6" s="10" t="n">
        <v>5311</v>
      </c>
      <c r="K6" s="12" t="n">
        <v>79.5</v>
      </c>
      <c r="L6" s="12" t="n">
        <v>22.12</v>
      </c>
      <c r="M6" s="13" t="n">
        <v>19.58</v>
      </c>
      <c r="N6" s="14" t="n">
        <f aca="false">J6/(F6*G6)</f>
        <v>8.10486545251886</v>
      </c>
      <c r="O6" s="10" t="n">
        <f aca="false">J6/(F6*G6)</f>
        <v>8.10486545251886</v>
      </c>
      <c r="P6" s="10" t="n">
        <f aca="false">M6/(F6*G6*H6)</f>
        <v>0.000978713077440207</v>
      </c>
      <c r="Q6" s="10"/>
      <c r="R6" s="10"/>
      <c r="S6" s="10"/>
      <c r="T6" s="10"/>
      <c r="U6" s="10"/>
      <c r="V6" s="10"/>
      <c r="W6" s="10"/>
      <c r="X6" s="10"/>
      <c r="Y6" s="10"/>
      <c r="Z6" s="10"/>
    </row>
    <row r="7" customFormat="false" ht="15" hidden="false" customHeight="false" outlineLevel="0" collapsed="false">
      <c r="A7" s="10"/>
      <c r="B7" s="10"/>
      <c r="C7" s="10" t="s">
        <v>21</v>
      </c>
      <c r="D7" s="10" t="n">
        <v>2</v>
      </c>
      <c r="E7" s="11" t="n">
        <v>46189</v>
      </c>
      <c r="F7" s="12" t="n">
        <v>25.25</v>
      </c>
      <c r="G7" s="12" t="n">
        <v>24.79</v>
      </c>
      <c r="H7" s="12" t="n">
        <v>30.48</v>
      </c>
      <c r="I7" s="12" t="n">
        <v>21.54</v>
      </c>
      <c r="J7" s="10" t="n">
        <v>5690</v>
      </c>
      <c r="K7" s="12" t="n">
        <v>88.9</v>
      </c>
      <c r="L7" s="12" t="n">
        <v>21.55</v>
      </c>
      <c r="M7" s="13" t="n">
        <v>19.09</v>
      </c>
      <c r="N7" s="14" t="n">
        <f aca="false">J7/(F7*G7)</f>
        <v>9.09021922765088</v>
      </c>
      <c r="O7" s="10" t="n">
        <f aca="false">J7/(F7*G7)</f>
        <v>9.09021922765088</v>
      </c>
      <c r="P7" s="10" t="n">
        <f aca="false">M7/(F7*G7*H7)</f>
        <v>0.00100058285392626</v>
      </c>
      <c r="Q7" s="10"/>
      <c r="R7" s="10"/>
      <c r="S7" s="10"/>
      <c r="T7" s="10"/>
      <c r="U7" s="10"/>
      <c r="V7" s="10"/>
      <c r="W7" s="10"/>
      <c r="X7" s="10"/>
      <c r="Y7" s="10"/>
      <c r="Z7" s="10"/>
    </row>
    <row r="8" customFormat="false" ht="15" hidden="false" customHeight="false" outlineLevel="0" collapsed="false">
      <c r="A8" s="10"/>
      <c r="B8" s="10"/>
      <c r="C8" s="10" t="s">
        <v>21</v>
      </c>
      <c r="D8" s="10" t="n">
        <v>3</v>
      </c>
      <c r="E8" s="11" t="n">
        <v>46191</v>
      </c>
      <c r="F8" s="12" t="n">
        <v>25.35</v>
      </c>
      <c r="G8" s="12" t="n">
        <v>24.88</v>
      </c>
      <c r="H8" s="12" t="n">
        <v>30.5</v>
      </c>
      <c r="I8" s="12" t="n">
        <v>21.87</v>
      </c>
      <c r="J8" s="10" t="n">
        <v>5487</v>
      </c>
      <c r="K8" s="12" t="n">
        <v>92</v>
      </c>
      <c r="L8" s="12" t="n">
        <v>21.88</v>
      </c>
      <c r="M8" s="13" t="n">
        <v>19.36</v>
      </c>
      <c r="N8" s="14" t="n">
        <f aca="false">J8/(F8*G8)</f>
        <v>8.69974695104549</v>
      </c>
      <c r="O8" s="10" t="n">
        <f aca="false">J8/(F8*G8)</f>
        <v>8.69974695104549</v>
      </c>
      <c r="P8" s="10" t="n">
        <f aca="false">M8/(F8*G8*H8)</f>
        <v>0.00100641516892232</v>
      </c>
      <c r="Q8" s="10"/>
      <c r="R8" s="10"/>
      <c r="S8" s="10"/>
      <c r="T8" s="10"/>
      <c r="U8" s="10"/>
      <c r="V8" s="10"/>
      <c r="W8" s="10"/>
      <c r="X8" s="10"/>
      <c r="Y8" s="10"/>
      <c r="Z8" s="10"/>
    </row>
    <row r="9" customFormat="false" ht="15" hidden="false" customHeight="false" outlineLevel="0" collapsed="false">
      <c r="A9" s="10"/>
      <c r="B9" s="10"/>
      <c r="C9" s="10" t="s">
        <v>21</v>
      </c>
      <c r="D9" s="10" t="n">
        <v>4</v>
      </c>
      <c r="E9" s="11" t="n">
        <v>46198</v>
      </c>
      <c r="F9" s="12" t="n">
        <v>24.9</v>
      </c>
      <c r="G9" s="12" t="n">
        <v>25.5</v>
      </c>
      <c r="H9" s="12" t="n">
        <v>30.35</v>
      </c>
      <c r="I9" s="12" t="n">
        <v>22.6</v>
      </c>
      <c r="J9" s="15" t="n">
        <v>5633</v>
      </c>
      <c r="K9" s="16" t="n">
        <v>87</v>
      </c>
      <c r="L9" s="12" t="n">
        <v>22.6</v>
      </c>
      <c r="M9" s="13" t="n">
        <v>19.98</v>
      </c>
      <c r="N9" s="14" t="n">
        <f aca="false">J9/(F9*G9)</f>
        <v>8.87156469013308</v>
      </c>
      <c r="O9" s="10" t="n">
        <f aca="false">J9/(F9*G9)</f>
        <v>8.87156469013308</v>
      </c>
      <c r="P9" s="10" t="n">
        <f aca="false">M9/(F9*G9*H9)</f>
        <v>0.00103680542501433</v>
      </c>
      <c r="Q9" s="10"/>
      <c r="R9" s="10"/>
      <c r="S9" s="10"/>
      <c r="T9" s="10"/>
      <c r="U9" s="10"/>
      <c r="V9" s="10"/>
      <c r="W9" s="10"/>
      <c r="X9" s="10"/>
      <c r="Y9" s="10"/>
      <c r="Z9" s="10"/>
    </row>
    <row r="10" customFormat="false" ht="15" hidden="false" customHeight="false" outlineLevel="0" collapsed="false">
      <c r="A10" s="10" t="s">
        <v>22</v>
      </c>
      <c r="B10" s="10" t="s">
        <v>23</v>
      </c>
      <c r="C10" s="10" t="s">
        <v>24</v>
      </c>
      <c r="D10" s="10" t="n">
        <v>1</v>
      </c>
      <c r="E10" s="11" t="n">
        <v>46189</v>
      </c>
      <c r="F10" s="12" t="n">
        <v>24.52</v>
      </c>
      <c r="G10" s="12" t="n">
        <v>25.35</v>
      </c>
      <c r="H10" s="12" t="n">
        <v>30.47</v>
      </c>
      <c r="I10" s="12" t="n">
        <v>13.5</v>
      </c>
      <c r="J10" s="10" t="n">
        <v>3648</v>
      </c>
      <c r="K10" s="12" t="n">
        <v>57.5</v>
      </c>
      <c r="L10" s="12" t="n">
        <v>13.49</v>
      </c>
      <c r="M10" s="13" t="n">
        <v>11.9</v>
      </c>
      <c r="N10" s="14" t="n">
        <f aca="false">J10/(F10*G10)</f>
        <v>5.86889581744645</v>
      </c>
      <c r="O10" s="10" t="n">
        <f aca="false">J10/(F10*G10)</f>
        <v>5.86889581744645</v>
      </c>
      <c r="P10" s="10" t="n">
        <f aca="false">M10/(F10*G10*H10)</f>
        <v>0.000628313046514806</v>
      </c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customFormat="false" ht="15" hidden="false" customHeight="false" outlineLevel="0" collapsed="false">
      <c r="A11" s="10"/>
      <c r="B11" s="10"/>
      <c r="C11" s="10" t="s">
        <v>24</v>
      </c>
      <c r="D11" s="10" t="n">
        <v>2</v>
      </c>
      <c r="E11" s="11" t="n">
        <v>46189</v>
      </c>
      <c r="F11" s="12" t="n">
        <v>25.6</v>
      </c>
      <c r="G11" s="12" t="n">
        <v>24.49</v>
      </c>
      <c r="H11" s="12" t="n">
        <v>30.44</v>
      </c>
      <c r="I11" s="12" t="n">
        <v>11.99</v>
      </c>
      <c r="J11" s="10" t="n">
        <v>3557</v>
      </c>
      <c r="K11" s="12" t="n">
        <v>55.6</v>
      </c>
      <c r="L11" s="12" t="n">
        <v>12.02</v>
      </c>
      <c r="M11" s="13" t="n">
        <v>10.61</v>
      </c>
      <c r="N11" s="14" t="n">
        <f aca="false">J11/(F11*G11)</f>
        <v>5.67355298080849</v>
      </c>
      <c r="O11" s="10" t="n">
        <f aca="false">J11/(F11*G11)</f>
        <v>5.67355298080849</v>
      </c>
      <c r="P11" s="10" t="n">
        <f aca="false">M11/(F11*G11*H11)</f>
        <v>0.000555958001844728</v>
      </c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customFormat="false" ht="15" hidden="false" customHeight="false" outlineLevel="0" collapsed="false">
      <c r="A12" s="10"/>
      <c r="B12" s="10"/>
      <c r="C12" s="10" t="s">
        <v>24</v>
      </c>
      <c r="D12" s="10" t="n">
        <v>3</v>
      </c>
      <c r="E12" s="11" t="n">
        <v>46191</v>
      </c>
      <c r="F12" s="12" t="n">
        <v>25.33</v>
      </c>
      <c r="G12" s="12" t="n">
        <v>24.57</v>
      </c>
      <c r="H12" s="12" t="n">
        <v>30.47</v>
      </c>
      <c r="I12" s="12" t="n">
        <v>12.82</v>
      </c>
      <c r="J12" s="10" t="n">
        <v>3844</v>
      </c>
      <c r="K12" s="12" t="n">
        <v>60.6</v>
      </c>
      <c r="L12" s="12" t="n">
        <v>12.82</v>
      </c>
      <c r="M12" s="13" t="n">
        <v>11.34</v>
      </c>
      <c r="N12" s="14" t="n">
        <f aca="false">J12/(F12*G12)</f>
        <v>6.17650834784668</v>
      </c>
      <c r="O12" s="10" t="n">
        <f aca="false">J12/(F12*G12)</f>
        <v>6.17650834784668</v>
      </c>
      <c r="P12" s="10" t="n">
        <f aca="false">M12/(F12*G12*H12)</f>
        <v>0.000597998719545208</v>
      </c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customFormat="false" ht="15" hidden="false" customHeight="false" outlineLevel="0" collapsed="false">
      <c r="A13" s="10"/>
      <c r="B13" s="10"/>
      <c r="C13" s="10" t="s">
        <v>24</v>
      </c>
      <c r="D13" s="10" t="n">
        <v>4</v>
      </c>
      <c r="E13" s="11" t="n">
        <v>46198</v>
      </c>
      <c r="F13" s="12" t="n">
        <v>24.54</v>
      </c>
      <c r="G13" s="12" t="n">
        <v>25.59</v>
      </c>
      <c r="H13" s="12" t="n">
        <v>30.41</v>
      </c>
      <c r="I13" s="12" t="n">
        <v>13.8</v>
      </c>
      <c r="J13" s="10" t="n">
        <v>3904</v>
      </c>
      <c r="K13" s="12" t="n">
        <v>61</v>
      </c>
      <c r="L13" s="12" t="n">
        <v>13.8</v>
      </c>
      <c r="M13" s="13" t="n">
        <v>12.19</v>
      </c>
      <c r="N13" s="14" t="n">
        <f aca="false">J13/(F13*G13)</f>
        <v>6.21677235498152</v>
      </c>
      <c r="O13" s="10" t="n">
        <f aca="false">J13/(F13*G13)</f>
        <v>6.21677235498152</v>
      </c>
      <c r="P13" s="10" t="n">
        <f aca="false">M13/(F13*G13*H13)</f>
        <v>0.000638325863196364</v>
      </c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customFormat="false" ht="15" hidden="false" customHeight="false" outlineLevel="0" collapsed="false">
      <c r="A14" s="15" t="s">
        <v>25</v>
      </c>
      <c r="B14" s="15" t="s">
        <v>26</v>
      </c>
      <c r="C14" s="15" t="s">
        <v>27</v>
      </c>
      <c r="D14" s="15" t="n">
        <v>1</v>
      </c>
      <c r="E14" s="11" t="n">
        <v>46189</v>
      </c>
      <c r="F14" s="16" t="n">
        <v>25.2</v>
      </c>
      <c r="G14" s="16" t="n">
        <v>24.4</v>
      </c>
      <c r="H14" s="16" t="n">
        <v>30.31</v>
      </c>
      <c r="I14" s="16" t="n">
        <v>19.6</v>
      </c>
      <c r="J14" s="15" t="n">
        <v>6922</v>
      </c>
      <c r="K14" s="16" t="n">
        <v>110.4</v>
      </c>
      <c r="L14" s="16" t="n">
        <v>19.62</v>
      </c>
      <c r="M14" s="13" t="n">
        <v>17.54</v>
      </c>
      <c r="N14" s="14" t="n">
        <f aca="false">J14/(F14*G14)</f>
        <v>11.2574811345303</v>
      </c>
      <c r="O14" s="10" t="n">
        <f aca="false">J14/(F14*G14)</f>
        <v>11.2574811345303</v>
      </c>
      <c r="P14" s="10" t="n">
        <f aca="false">M14/(F14*G14*H14)</f>
        <v>0.000941137948888461</v>
      </c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customFormat="false" ht="15" hidden="false" customHeight="false" outlineLevel="0" collapsed="false">
      <c r="A15" s="15"/>
      <c r="B15" s="15"/>
      <c r="C15" s="15" t="s">
        <v>27</v>
      </c>
      <c r="D15" s="15" t="n">
        <v>2</v>
      </c>
      <c r="E15" s="11" t="n">
        <v>46189</v>
      </c>
      <c r="F15" s="16" t="n">
        <v>24.71</v>
      </c>
      <c r="G15" s="16" t="n">
        <v>25.65</v>
      </c>
      <c r="H15" s="16" t="n">
        <v>30.36</v>
      </c>
      <c r="I15" s="16" t="n">
        <v>18.98</v>
      </c>
      <c r="J15" s="15" t="n">
        <v>6953</v>
      </c>
      <c r="K15" s="16" t="n">
        <v>107.4</v>
      </c>
      <c r="L15" s="16" t="n">
        <v>18.98</v>
      </c>
      <c r="M15" s="13" t="n">
        <v>17</v>
      </c>
      <c r="N15" s="14" t="n">
        <f aca="false">J15/(F15*G15)</f>
        <v>10.9701385979901</v>
      </c>
      <c r="O15" s="10" t="n">
        <f aca="false">J15/(F15*G15)</f>
        <v>10.9701385979901</v>
      </c>
      <c r="P15" s="10" t="n">
        <f aca="false">M15/(F15*G15*H15)</f>
        <v>0.000883460301805401</v>
      </c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customFormat="false" ht="15" hidden="false" customHeight="false" outlineLevel="0" collapsed="false">
      <c r="A16" s="15"/>
      <c r="B16" s="15"/>
      <c r="C16" s="15" t="s">
        <v>27</v>
      </c>
      <c r="D16" s="10" t="n">
        <v>3</v>
      </c>
      <c r="E16" s="11" t="n">
        <v>46191</v>
      </c>
      <c r="F16" s="16" t="n">
        <v>25.57</v>
      </c>
      <c r="G16" s="16" t="n">
        <v>24.56</v>
      </c>
      <c r="H16" s="16" t="n">
        <v>30.29</v>
      </c>
      <c r="I16" s="16" t="n">
        <v>18.95</v>
      </c>
      <c r="J16" s="15" t="n">
        <v>7001</v>
      </c>
      <c r="K16" s="16" t="n">
        <v>109</v>
      </c>
      <c r="L16" s="16" t="n">
        <v>18.98</v>
      </c>
      <c r="M16" s="13" t="n">
        <v>16.97</v>
      </c>
      <c r="N16" s="14" t="n">
        <f aca="false">J16/(F16*G16)</f>
        <v>11.1481033733801</v>
      </c>
      <c r="O16" s="10" t="n">
        <f aca="false">J16/(F16*G16)</f>
        <v>11.1481033733801</v>
      </c>
      <c r="P16" s="10" t="n">
        <f aca="false">M16/(F16*G16*H16)</f>
        <v>0.000892120416539373</v>
      </c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customFormat="false" ht="15" hidden="false" customHeight="false" outlineLevel="0" collapsed="false">
      <c r="A17" s="15"/>
      <c r="B17" s="15"/>
      <c r="C17" s="15" t="s">
        <v>27</v>
      </c>
      <c r="D17" s="10" t="n">
        <v>4</v>
      </c>
      <c r="E17" s="11" t="n">
        <v>46198</v>
      </c>
      <c r="F17" s="16" t="n">
        <v>25.42</v>
      </c>
      <c r="G17" s="16" t="n">
        <v>24.91</v>
      </c>
      <c r="H17" s="16" t="n">
        <v>30.36</v>
      </c>
      <c r="I17" s="16" t="n">
        <v>19.67</v>
      </c>
      <c r="J17" s="15" t="n">
        <v>6952</v>
      </c>
      <c r="K17" s="16" t="n">
        <v>107.8</v>
      </c>
      <c r="L17" s="16" t="n">
        <v>19.65</v>
      </c>
      <c r="M17" s="13" t="n">
        <v>17.62</v>
      </c>
      <c r="N17" s="14" t="n">
        <f aca="false">J17/(F17*G17)</f>
        <v>10.9789419723751</v>
      </c>
      <c r="O17" s="10" t="n">
        <f aca="false">J17/(F17*G17)</f>
        <v>10.9789419723751</v>
      </c>
      <c r="P17" s="10" t="n">
        <f aca="false">M17/(F17*G17*H17)</f>
        <v>0.00091654725928506</v>
      </c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customFormat="false" ht="15" hidden="false" customHeight="false" outlineLevel="0" collapsed="false">
      <c r="A18" s="10" t="s">
        <v>28</v>
      </c>
      <c r="B18" s="10" t="s">
        <v>29</v>
      </c>
      <c r="C18" s="10" t="s">
        <v>30</v>
      </c>
      <c r="D18" s="10" t="n">
        <v>1</v>
      </c>
      <c r="E18" s="11" t="n">
        <v>46189</v>
      </c>
      <c r="F18" s="12" t="n">
        <v>24.04</v>
      </c>
      <c r="G18" s="12" t="n">
        <v>25.41</v>
      </c>
      <c r="H18" s="12" t="n">
        <v>30.54</v>
      </c>
      <c r="I18" s="12" t="n">
        <v>8.9</v>
      </c>
      <c r="J18" s="10" t="n">
        <v>2095</v>
      </c>
      <c r="K18" s="12" t="n">
        <v>33.7</v>
      </c>
      <c r="L18" s="12" t="n">
        <v>8.9</v>
      </c>
      <c r="M18" s="13" t="n">
        <v>7.87</v>
      </c>
      <c r="N18" s="14" t="n">
        <f aca="false">J18/(F18*G18)</f>
        <v>3.42961128016339</v>
      </c>
      <c r="O18" s="10" t="n">
        <f aca="false">J18/(F18*G18)</f>
        <v>3.42961128016339</v>
      </c>
      <c r="P18" s="10" t="n">
        <f aca="false">M18/(F18*G18*H18)</f>
        <v>0.000421858273821974</v>
      </c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customFormat="false" ht="15" hidden="false" customHeight="false" outlineLevel="0" collapsed="false">
      <c r="A19" s="10"/>
      <c r="B19" s="10"/>
      <c r="C19" s="10" t="s">
        <v>30</v>
      </c>
      <c r="D19" s="10" t="n">
        <v>2</v>
      </c>
      <c r="E19" s="11" t="n">
        <v>46189</v>
      </c>
      <c r="F19" s="12" t="n">
        <v>25.44</v>
      </c>
      <c r="G19" s="12" t="n">
        <v>24.1</v>
      </c>
      <c r="H19" s="12" t="n">
        <v>30.5</v>
      </c>
      <c r="I19" s="12" t="n">
        <v>9.1</v>
      </c>
      <c r="J19" s="10" t="n">
        <v>2340</v>
      </c>
      <c r="K19" s="12" t="n">
        <v>37.5</v>
      </c>
      <c r="L19" s="12" t="n">
        <v>9.1</v>
      </c>
      <c r="M19" s="13" t="n">
        <v>8.04</v>
      </c>
      <c r="N19" s="14" t="n">
        <f aca="false">J19/(F19*G19)</f>
        <v>3.81664448445941</v>
      </c>
      <c r="O19" s="10" t="n">
        <f aca="false">J19/(F19*G19)</f>
        <v>3.81664448445941</v>
      </c>
      <c r="P19" s="10" t="n">
        <f aca="false">M19/(F19*G19*H19)</f>
        <v>0.000429954065504464</v>
      </c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customFormat="false" ht="15" hidden="false" customHeight="false" outlineLevel="0" collapsed="false">
      <c r="A20" s="10"/>
      <c r="B20" s="10"/>
      <c r="C20" s="10" t="s">
        <v>30</v>
      </c>
      <c r="D20" s="10" t="n">
        <v>3</v>
      </c>
      <c r="E20" s="11" t="n">
        <v>46191</v>
      </c>
      <c r="F20" s="12" t="n">
        <v>24.22</v>
      </c>
      <c r="G20" s="12" t="n">
        <v>25.02</v>
      </c>
      <c r="H20" s="12" t="n">
        <v>30.25</v>
      </c>
      <c r="I20" s="12" t="n">
        <v>8.53</v>
      </c>
      <c r="J20" s="10" t="n">
        <v>1776</v>
      </c>
      <c r="K20" s="12" t="n">
        <v>28.8</v>
      </c>
      <c r="L20" s="12" t="n">
        <v>8.51</v>
      </c>
      <c r="M20" s="13" t="n">
        <v>7.51</v>
      </c>
      <c r="N20" s="14" t="n">
        <f aca="false">J20/(F20*G20)</f>
        <v>2.93076851483306</v>
      </c>
      <c r="O20" s="10" t="n">
        <f aca="false">J20/(F20*G20)</f>
        <v>2.93076851483306</v>
      </c>
      <c r="P20" s="10" t="n">
        <f aca="false">M20/(F20*G20*H20)</f>
        <v>0.000409687877790117</v>
      </c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customFormat="false" ht="15" hidden="false" customHeight="false" outlineLevel="0" collapsed="false">
      <c r="A21" s="10"/>
      <c r="B21" s="10"/>
      <c r="C21" s="10" t="s">
        <v>30</v>
      </c>
      <c r="D21" s="10" t="n">
        <v>4</v>
      </c>
      <c r="E21" s="11" t="n">
        <v>46198</v>
      </c>
      <c r="F21" s="12" t="n">
        <v>24.32</v>
      </c>
      <c r="G21" s="12" t="n">
        <v>25.96</v>
      </c>
      <c r="H21" s="12" t="n">
        <v>30.42</v>
      </c>
      <c r="I21" s="12" t="n">
        <v>9.52</v>
      </c>
      <c r="J21" s="10" t="n">
        <v>2506</v>
      </c>
      <c r="K21" s="12" t="n">
        <v>38.9</v>
      </c>
      <c r="L21" s="12" t="n">
        <v>9.5</v>
      </c>
      <c r="M21" s="13" t="n">
        <v>8.4</v>
      </c>
      <c r="N21" s="14" t="n">
        <f aca="false">J21/(F21*G21)</f>
        <v>3.9692897980699</v>
      </c>
      <c r="O21" s="10" t="n">
        <f aca="false">J21/(F21*G21)</f>
        <v>3.9692897980699</v>
      </c>
      <c r="P21" s="10" t="n">
        <f aca="false">M21/(F21*G21*H21)</f>
        <v>0.00043737284696593</v>
      </c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customFormat="false" ht="15" hidden="false" customHeight="false" outlineLevel="0" collapsed="false">
      <c r="A22" s="10" t="s">
        <v>31</v>
      </c>
      <c r="B22" s="10" t="s">
        <v>32</v>
      </c>
      <c r="C22" s="10" t="s">
        <v>33</v>
      </c>
      <c r="D22" s="10" t="n">
        <v>1</v>
      </c>
      <c r="E22" s="11" t="n">
        <v>46189</v>
      </c>
      <c r="F22" s="10" t="n">
        <v>24.72</v>
      </c>
      <c r="G22" s="10" t="n">
        <v>25.28</v>
      </c>
      <c r="H22" s="10" t="n">
        <v>30.42</v>
      </c>
      <c r="I22" s="10" t="n">
        <v>22.39</v>
      </c>
      <c r="J22" s="10" t="n">
        <v>7797</v>
      </c>
      <c r="K22" s="12" t="n">
        <v>122.4</v>
      </c>
      <c r="L22" s="12" t="n">
        <v>22.38</v>
      </c>
      <c r="M22" s="13" t="n">
        <v>19.98</v>
      </c>
      <c r="N22" s="14" t="n">
        <f aca="false">J22/(F22*G22)</f>
        <v>12.4767650854123</v>
      </c>
      <c r="O22" s="10" t="n">
        <f aca="false">J22/(F22*G22)</f>
        <v>12.4767650854123</v>
      </c>
      <c r="P22" s="10" t="n">
        <f aca="false">M22/(F22*G22*H22)</f>
        <v>0.00105101941383977</v>
      </c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customFormat="false" ht="15" hidden="false" customHeight="false" outlineLevel="0" collapsed="false">
      <c r="A23" s="10"/>
      <c r="B23" s="10"/>
      <c r="C23" s="10" t="s">
        <v>33</v>
      </c>
      <c r="D23" s="10" t="n">
        <v>2</v>
      </c>
      <c r="E23" s="11" t="n">
        <v>46191</v>
      </c>
      <c r="F23" s="10" t="n">
        <v>25.39</v>
      </c>
      <c r="G23" s="10" t="n">
        <v>24.68</v>
      </c>
      <c r="H23" s="10" t="n">
        <v>30.13</v>
      </c>
      <c r="I23" s="10" t="n">
        <v>23.32</v>
      </c>
      <c r="J23" s="10" t="n">
        <v>7261</v>
      </c>
      <c r="K23" s="12" t="n">
        <v>113.5</v>
      </c>
      <c r="L23" s="12" t="n">
        <v>23.31</v>
      </c>
      <c r="M23" s="13" t="n">
        <v>20.74</v>
      </c>
      <c r="N23" s="14" t="n">
        <f aca="false">J23/(F23*G23)</f>
        <v>11.5874688729403</v>
      </c>
      <c r="O23" s="10" t="n">
        <f aca="false">J23/(F23*G23)</f>
        <v>11.5874688729403</v>
      </c>
      <c r="P23" s="10" t="n">
        <f aca="false">M23/(F23*G23*H23)</f>
        <v>0.00109850430727638</v>
      </c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customFormat="false" ht="15" hidden="false" customHeight="false" outlineLevel="0" collapsed="false">
      <c r="A24" s="10"/>
      <c r="B24" s="10"/>
      <c r="C24" s="10" t="s">
        <v>33</v>
      </c>
      <c r="D24" s="10" t="n">
        <v>3</v>
      </c>
      <c r="E24" s="11" t="n">
        <v>46191</v>
      </c>
      <c r="F24" s="10" t="n">
        <v>25.93</v>
      </c>
      <c r="G24" s="10" t="n">
        <v>24.76</v>
      </c>
      <c r="H24" s="10" t="n">
        <v>30.39</v>
      </c>
      <c r="I24" s="10" t="n">
        <v>22.54</v>
      </c>
      <c r="J24" s="10" t="n">
        <v>6388</v>
      </c>
      <c r="K24" s="12" t="n">
        <v>97.5</v>
      </c>
      <c r="L24" s="12" t="n">
        <v>22.55</v>
      </c>
      <c r="M24" s="13" t="n">
        <v>20.08</v>
      </c>
      <c r="N24" s="14" t="n">
        <f aca="false">J24/(F24*G24)</f>
        <v>9.94974041582065</v>
      </c>
      <c r="O24" s="10" t="n">
        <f aca="false">J24/(F24*G24)</f>
        <v>9.94974041582065</v>
      </c>
      <c r="P24" s="10" t="n">
        <f aca="false">M24/(F24*G24*H24)</f>
        <v>0.00102915277941591</v>
      </c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customFormat="false" ht="15" hidden="false" customHeight="false" outlineLevel="0" collapsed="false">
      <c r="A25" s="10"/>
      <c r="B25" s="10"/>
      <c r="C25" s="10" t="s">
        <v>33</v>
      </c>
      <c r="D25" s="10" t="n">
        <v>4</v>
      </c>
      <c r="E25" s="11" t="n">
        <v>46198</v>
      </c>
      <c r="F25" s="10" t="n">
        <v>26.04</v>
      </c>
      <c r="G25" s="10" t="n">
        <v>24.79</v>
      </c>
      <c r="H25" s="10" t="n">
        <v>30.59</v>
      </c>
      <c r="I25" s="10" t="n">
        <v>22.14</v>
      </c>
      <c r="J25" s="10" t="n">
        <v>7270</v>
      </c>
      <c r="K25" s="12" t="n">
        <v>110.6</v>
      </c>
      <c r="L25" s="12" t="n">
        <v>22.14</v>
      </c>
      <c r="M25" s="13" t="n">
        <v>19.76</v>
      </c>
      <c r="N25" s="14" t="n">
        <f aca="false">J25/(F25*G25)</f>
        <v>11.2620358166819</v>
      </c>
      <c r="O25" s="10" t="n">
        <f aca="false">J25/(F25*G25)</f>
        <v>11.2620358166819</v>
      </c>
      <c r="P25" s="10" t="n">
        <f aca="false">M25/(F25*G25*H25)</f>
        <v>0.00100066787267928</v>
      </c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customFormat="false" ht="15" hidden="false" customHeight="false" outlineLevel="0" collapsed="false">
      <c r="A26" s="10" t="s">
        <v>34</v>
      </c>
      <c r="B26" s="10" t="s">
        <v>35</v>
      </c>
      <c r="C26" s="10" t="s">
        <v>36</v>
      </c>
      <c r="D26" s="10" t="n">
        <v>1</v>
      </c>
      <c r="E26" s="11" t="n">
        <v>46191</v>
      </c>
      <c r="F26" s="10" t="n">
        <v>25.71</v>
      </c>
      <c r="G26" s="10" t="n">
        <v>24.44</v>
      </c>
      <c r="H26" s="10" t="n">
        <v>30.6</v>
      </c>
      <c r="I26" s="12" t="n">
        <v>10.1</v>
      </c>
      <c r="J26" s="10" t="n">
        <v>1744</v>
      </c>
      <c r="K26" s="12" t="n">
        <v>27.3</v>
      </c>
      <c r="L26" s="12" t="n">
        <v>10.08</v>
      </c>
      <c r="M26" s="13" t="n">
        <v>8.84</v>
      </c>
      <c r="N26" s="14" t="n">
        <f aca="false">J26/(F26*G26)</f>
        <v>2.77551259452498</v>
      </c>
      <c r="O26" s="10" t="n">
        <f aca="false">J26/(F26*G26)</f>
        <v>2.77551259452498</v>
      </c>
      <c r="P26" s="10" t="n">
        <f aca="false">M26/(F26*G26*H26)</f>
        <v>0.000459756163721009</v>
      </c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customFormat="false" ht="15" hidden="false" customHeight="false" outlineLevel="0" collapsed="false">
      <c r="A27" s="10"/>
      <c r="B27" s="10"/>
      <c r="C27" s="10" t="s">
        <v>36</v>
      </c>
      <c r="D27" s="10" t="n">
        <v>2</v>
      </c>
      <c r="E27" s="11" t="n">
        <v>46191</v>
      </c>
      <c r="F27" s="10" t="n">
        <v>25.45</v>
      </c>
      <c r="G27" s="10" t="n">
        <v>25.15</v>
      </c>
      <c r="H27" s="10" t="n">
        <v>30.45</v>
      </c>
      <c r="I27" s="10" t="n">
        <v>10.17</v>
      </c>
      <c r="J27" s="10" t="n">
        <v>1784</v>
      </c>
      <c r="K27" s="12" t="n">
        <v>27.2</v>
      </c>
      <c r="L27" s="12" t="n">
        <v>10.14</v>
      </c>
      <c r="M27" s="13" t="n">
        <v>8.86</v>
      </c>
      <c r="N27" s="14" t="n">
        <f aca="false">J27/(F27*G27)</f>
        <v>2.7872060368633</v>
      </c>
      <c r="O27" s="10" t="n">
        <f aca="false">J27/(F27*G27)</f>
        <v>2.7872060368633</v>
      </c>
      <c r="P27" s="10" t="n">
        <f aca="false">M27/(F27*G27*H27)</f>
        <v>0.000454590806928377</v>
      </c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customFormat="false" ht="15.75" hidden="false" customHeight="true" outlineLevel="0" collapsed="false">
      <c r="A28" s="10"/>
      <c r="B28" s="10"/>
      <c r="C28" s="10" t="s">
        <v>36</v>
      </c>
      <c r="D28" s="10" t="n">
        <v>3</v>
      </c>
      <c r="E28" s="11" t="n">
        <v>46191</v>
      </c>
      <c r="F28" s="10" t="n">
        <v>26.19</v>
      </c>
      <c r="G28" s="10" t="n">
        <v>25.02</v>
      </c>
      <c r="H28" s="10" t="n">
        <v>30.7</v>
      </c>
      <c r="I28" s="10" t="n">
        <v>10.23</v>
      </c>
      <c r="J28" s="10" t="n">
        <v>1409</v>
      </c>
      <c r="K28" s="12" t="n">
        <v>21.1</v>
      </c>
      <c r="L28" s="12" t="n">
        <v>10.21</v>
      </c>
      <c r="M28" s="13" t="n">
        <v>8.96</v>
      </c>
      <c r="N28" s="14" t="n">
        <f aca="false">J28/(F28*G28)</f>
        <v>2.15024620242714</v>
      </c>
      <c r="O28" s="10" t="n">
        <f aca="false">J28/(F28*G28)</f>
        <v>2.15024620242714</v>
      </c>
      <c r="P28" s="10" t="n">
        <f aca="false">M28/(F28*G28*H28)</f>
        <v>0.000445396531227755</v>
      </c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customFormat="false" ht="15.75" hidden="false" customHeight="true" outlineLevel="0" collapsed="false">
      <c r="A29" s="10"/>
      <c r="B29" s="10"/>
      <c r="C29" s="10" t="s">
        <v>36</v>
      </c>
      <c r="D29" s="10" t="n">
        <v>4</v>
      </c>
      <c r="E29" s="11" t="n">
        <v>46198</v>
      </c>
      <c r="F29" s="10" t="n">
        <v>24.78</v>
      </c>
      <c r="G29" s="10" t="n">
        <v>25.79</v>
      </c>
      <c r="H29" s="10" t="n">
        <v>30.47</v>
      </c>
      <c r="I29" s="12" t="n">
        <v>9.8</v>
      </c>
      <c r="J29" s="10" t="n">
        <v>1734</v>
      </c>
      <c r="K29" s="12" t="n">
        <v>27.1</v>
      </c>
      <c r="L29" s="12" t="n">
        <v>9.79</v>
      </c>
      <c r="M29" s="13" t="n">
        <v>8.59</v>
      </c>
      <c r="N29" s="14" t="n">
        <f aca="false">J29/(F29*G29)</f>
        <v>2.71329146665139</v>
      </c>
      <c r="O29" s="10" t="n">
        <f aca="false">J29/(F29*G29)</f>
        <v>2.71329146665139</v>
      </c>
      <c r="P29" s="10" t="n">
        <f aca="false">M29/(F29*G29*H29)</f>
        <v>0.000441131494675222</v>
      </c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customFormat="false" ht="15.75" hidden="false" customHeight="true" outlineLevel="0" collapsed="false">
      <c r="A30" s="10" t="s">
        <v>37</v>
      </c>
      <c r="B30" s="10" t="s">
        <v>38</v>
      </c>
      <c r="C30" s="10" t="s">
        <v>39</v>
      </c>
      <c r="D30" s="10" t="n">
        <v>1</v>
      </c>
      <c r="E30" s="11" t="n">
        <v>46189</v>
      </c>
      <c r="F30" s="10" t="n">
        <v>25.08</v>
      </c>
      <c r="G30" s="10" t="n">
        <v>24.37</v>
      </c>
      <c r="H30" s="10" t="n">
        <v>30.5</v>
      </c>
      <c r="I30" s="10" t="n">
        <v>19.08</v>
      </c>
      <c r="J30" s="10" t="n">
        <v>3992</v>
      </c>
      <c r="K30" s="12" t="n">
        <v>63.9</v>
      </c>
      <c r="L30" s="12" t="n">
        <v>19.04</v>
      </c>
      <c r="M30" s="13" t="n">
        <v>16.8</v>
      </c>
      <c r="N30" s="14" t="n">
        <f aca="false">J30/(F30*G30)</f>
        <v>6.53141788705359</v>
      </c>
      <c r="O30" s="10" t="n">
        <f aca="false">J30/(F30*G30)</f>
        <v>6.53141788705359</v>
      </c>
      <c r="P30" s="10" t="n">
        <f aca="false">M30/(F30*G30*H30)</f>
        <v>0.000901210786347288</v>
      </c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customFormat="false" ht="15.75" hidden="false" customHeight="true" outlineLevel="0" collapsed="false">
      <c r="A31" s="10"/>
      <c r="B31" s="10"/>
      <c r="C31" s="10" t="s">
        <v>39</v>
      </c>
      <c r="D31" s="10" t="n">
        <v>2</v>
      </c>
      <c r="E31" s="11" t="n">
        <v>46189</v>
      </c>
      <c r="F31" s="10" t="n">
        <v>25.02</v>
      </c>
      <c r="G31" s="10" t="n">
        <v>24.49</v>
      </c>
      <c r="H31" s="10" t="n">
        <v>30.5</v>
      </c>
      <c r="I31" s="10" t="n">
        <v>19.05</v>
      </c>
      <c r="J31" s="10" t="n">
        <v>4103</v>
      </c>
      <c r="K31" s="12" t="n">
        <v>65.7</v>
      </c>
      <c r="L31" s="12" t="n">
        <v>19.06</v>
      </c>
      <c r="M31" s="13" t="n">
        <v>16.77</v>
      </c>
      <c r="N31" s="14" t="n">
        <f aca="false">J31/(F31*G31)</f>
        <v>6.69615389762506</v>
      </c>
      <c r="O31" s="10" t="n">
        <f aca="false">J31/(F31*G31)</f>
        <v>6.69615389762506</v>
      </c>
      <c r="P31" s="10" t="n">
        <f aca="false">M31/(F31*G31*H31)</f>
        <v>0.000897340217778853</v>
      </c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customFormat="false" ht="15.75" hidden="false" customHeight="true" outlineLevel="0" collapsed="false">
      <c r="A32" s="10"/>
      <c r="B32" s="10"/>
      <c r="C32" s="10" t="s">
        <v>39</v>
      </c>
      <c r="D32" s="10" t="n">
        <v>3</v>
      </c>
      <c r="E32" s="11" t="n">
        <v>46191</v>
      </c>
      <c r="F32" s="10" t="n">
        <v>24.55</v>
      </c>
      <c r="G32" s="10" t="n">
        <v>24.89</v>
      </c>
      <c r="H32" s="10" t="n">
        <v>30.48</v>
      </c>
      <c r="I32" s="10" t="n">
        <v>20.05</v>
      </c>
      <c r="J32" s="10" t="n">
        <v>4679</v>
      </c>
      <c r="K32" s="12" t="n">
        <v>74.9</v>
      </c>
      <c r="L32" s="12" t="n">
        <v>20.02</v>
      </c>
      <c r="M32" s="13" t="n">
        <v>17.7</v>
      </c>
      <c r="N32" s="14" t="n">
        <f aca="false">J32/(F32*G32)</f>
        <v>7.65731745136851</v>
      </c>
      <c r="O32" s="10" t="n">
        <f aca="false">J32/(F32*G32)</f>
        <v>7.65731745136851</v>
      </c>
      <c r="P32" s="10" t="n">
        <f aca="false">M32/(F32*G32*H32)</f>
        <v>0.000950346349055719</v>
      </c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customFormat="false" ht="15.75" hidden="false" customHeight="true" outlineLevel="0" collapsed="false">
      <c r="A33" s="10"/>
      <c r="B33" s="10"/>
      <c r="C33" s="10" t="s">
        <v>39</v>
      </c>
      <c r="D33" s="10" t="n">
        <v>4</v>
      </c>
      <c r="E33" s="11" t="n">
        <v>46198</v>
      </c>
      <c r="F33" s="10" t="n">
        <v>24.94</v>
      </c>
      <c r="G33" s="10" t="n">
        <v>24.49</v>
      </c>
      <c r="H33" s="10" t="n">
        <v>30.46</v>
      </c>
      <c r="I33" s="10" t="n">
        <v>18.18</v>
      </c>
      <c r="J33" s="10" t="n">
        <v>3858</v>
      </c>
      <c r="K33" s="12" t="n">
        <v>62</v>
      </c>
      <c r="L33" s="12" t="n">
        <v>18.13</v>
      </c>
      <c r="M33" s="13" t="n">
        <v>16.05</v>
      </c>
      <c r="N33" s="14" t="n">
        <f aca="false">J33/(F33*G33)</f>
        <v>6.31650710582491</v>
      </c>
      <c r="O33" s="10" t="n">
        <f aca="false">J33/(F33*G33)</f>
        <v>6.31650710582491</v>
      </c>
      <c r="P33" s="10" t="n">
        <f aca="false">M33/(F33*G33*H33)</f>
        <v>0.000862700209441831</v>
      </c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customFormat="false" ht="15.75" hidden="false" customHeight="true" outlineLevel="0" collapsed="false">
      <c r="A34" s="10" t="s">
        <v>40</v>
      </c>
      <c r="B34" s="10" t="s">
        <v>41</v>
      </c>
      <c r="C34" s="10" t="s">
        <v>42</v>
      </c>
      <c r="D34" s="10" t="n">
        <v>1</v>
      </c>
      <c r="E34" s="11" t="n">
        <v>46189</v>
      </c>
      <c r="F34" s="12" t="n">
        <v>25.22</v>
      </c>
      <c r="G34" s="12" t="n">
        <v>24.88</v>
      </c>
      <c r="H34" s="12" t="n">
        <v>30.54</v>
      </c>
      <c r="I34" s="12" t="n">
        <v>14.89</v>
      </c>
      <c r="J34" s="10" t="n">
        <v>3526</v>
      </c>
      <c r="K34" s="12" t="n">
        <v>55.1</v>
      </c>
      <c r="L34" s="12" t="n">
        <v>14.9</v>
      </c>
      <c r="M34" s="13" t="n">
        <v>13.14</v>
      </c>
      <c r="N34" s="14" t="n">
        <f aca="false">J34/(F34*G34)</f>
        <v>5.61935992207481</v>
      </c>
      <c r="O34" s="10" t="n">
        <f aca="false">J34/(F34*G34)</f>
        <v>5.61935992207481</v>
      </c>
      <c r="P34" s="10" t="n">
        <f aca="false">M34/(F34*G34*H34)</f>
        <v>0.000685694828835016</v>
      </c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customFormat="false" ht="15.75" hidden="false" customHeight="true" outlineLevel="0" collapsed="false">
      <c r="A35" s="10"/>
      <c r="B35" s="10"/>
      <c r="C35" s="10" t="s">
        <v>42</v>
      </c>
      <c r="D35" s="10" t="n">
        <v>2</v>
      </c>
      <c r="E35" s="11" t="n">
        <v>46189</v>
      </c>
      <c r="F35" s="12" t="n">
        <v>24.36</v>
      </c>
      <c r="G35" s="12" t="n">
        <v>25.27</v>
      </c>
      <c r="H35" s="12" t="n">
        <v>30.56</v>
      </c>
      <c r="I35" s="12" t="n">
        <v>16.19</v>
      </c>
      <c r="J35" s="10" t="n">
        <v>4226</v>
      </c>
      <c r="K35" s="12" t="n">
        <v>67.1</v>
      </c>
      <c r="L35" s="12" t="n">
        <v>16.2</v>
      </c>
      <c r="M35" s="13" t="n">
        <v>14.28</v>
      </c>
      <c r="N35" s="14" t="n">
        <f aca="false">J35/(F35*G35)</f>
        <v>6.86510156646478</v>
      </c>
      <c r="O35" s="10" t="n">
        <f aca="false">J35/(F35*G35)</f>
        <v>6.86510156646478</v>
      </c>
      <c r="P35" s="10" t="n">
        <f aca="false">M35/(F35*G35*H35)</f>
        <v>0.000759088359528252</v>
      </c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customFormat="false" ht="15.75" hidden="false" customHeight="true" outlineLevel="0" collapsed="false">
      <c r="A36" s="10"/>
      <c r="B36" s="10"/>
      <c r="C36" s="10" t="s">
        <v>42</v>
      </c>
      <c r="D36" s="10" t="n">
        <v>3</v>
      </c>
      <c r="E36" s="11" t="n">
        <v>46191</v>
      </c>
      <c r="F36" s="12" t="n">
        <v>24.92</v>
      </c>
      <c r="G36" s="12" t="n">
        <v>24.71</v>
      </c>
      <c r="H36" s="12" t="n">
        <v>30.42</v>
      </c>
      <c r="I36" s="12" t="n">
        <v>15.36</v>
      </c>
      <c r="J36" s="10" t="n">
        <v>3702</v>
      </c>
      <c r="K36" s="12" t="n">
        <v>53.2</v>
      </c>
      <c r="L36" s="12" t="n">
        <v>15.35</v>
      </c>
      <c r="M36" s="13" t="n">
        <v>13.54</v>
      </c>
      <c r="N36" s="14" t="n">
        <f aca="false">J36/(F36*G36)</f>
        <v>6.01195375180342</v>
      </c>
      <c r="O36" s="10" t="n">
        <f aca="false">J36/(F36*G36)</f>
        <v>6.01195375180342</v>
      </c>
      <c r="P36" s="10" t="n">
        <f aca="false">M36/(F36*G36*H36)</f>
        <v>0.000722834164657325</v>
      </c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customFormat="false" ht="15.75" hidden="false" customHeight="true" outlineLevel="0" collapsed="false">
      <c r="A37" s="10"/>
      <c r="B37" s="10"/>
      <c r="C37" s="10" t="s">
        <v>42</v>
      </c>
      <c r="D37" s="10" t="n">
        <v>4</v>
      </c>
      <c r="E37" s="11" t="n">
        <v>46198</v>
      </c>
      <c r="F37" s="12" t="n">
        <v>24.7</v>
      </c>
      <c r="G37" s="12" t="n">
        <v>25.98</v>
      </c>
      <c r="H37" s="12" t="n">
        <v>30.51</v>
      </c>
      <c r="I37" s="12" t="n">
        <v>16.99</v>
      </c>
      <c r="J37" s="10" t="n">
        <v>4570</v>
      </c>
      <c r="K37" s="12" t="n">
        <v>71.4</v>
      </c>
      <c r="L37" s="12" t="n">
        <v>16.95</v>
      </c>
      <c r="M37" s="13" t="n">
        <v>14.96</v>
      </c>
      <c r="N37" s="14" t="n">
        <f aca="false">J37/(F37*G37)</f>
        <v>7.12164137471054</v>
      </c>
      <c r="O37" s="10" t="n">
        <f aca="false">J37/(F37*G37)</f>
        <v>7.12164137471054</v>
      </c>
      <c r="P37" s="10" t="n">
        <f aca="false">M37/(F37*G37*H37)</f>
        <v>0.000764105429906539</v>
      </c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customFormat="false" ht="15.75" hidden="false" customHeight="true" outlineLevel="0" collapsed="false">
      <c r="A38" s="10" t="s">
        <v>43</v>
      </c>
      <c r="B38" s="10" t="s">
        <v>44</v>
      </c>
      <c r="C38" s="10" t="s">
        <v>45</v>
      </c>
      <c r="D38" s="10" t="n">
        <v>1</v>
      </c>
      <c r="E38" s="11" t="n">
        <v>46189</v>
      </c>
      <c r="F38" s="12" t="n">
        <v>24.99</v>
      </c>
      <c r="G38" s="12" t="n">
        <v>25.61</v>
      </c>
      <c r="H38" s="12" t="n">
        <v>30.21</v>
      </c>
      <c r="I38" s="12" t="n">
        <v>15.98</v>
      </c>
      <c r="J38" s="10" t="n">
        <v>2951</v>
      </c>
      <c r="K38" s="12" t="n">
        <v>45.2</v>
      </c>
      <c r="L38" s="12" t="n">
        <v>15.96</v>
      </c>
      <c r="M38" s="13" t="n">
        <v>13.87</v>
      </c>
      <c r="N38" s="14" t="n">
        <f aca="false">J38/(F38*G38)</f>
        <v>4.61098144841693</v>
      </c>
      <c r="O38" s="10" t="n">
        <f aca="false">J38/(F38*G38)</f>
        <v>4.61098144841693</v>
      </c>
      <c r="P38" s="10" t="n">
        <f aca="false">M38/(F38*G38*H38)</f>
        <v>0.000717381051374624</v>
      </c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customFormat="false" ht="15.75" hidden="false" customHeight="true" outlineLevel="0" collapsed="false">
      <c r="A39" s="10"/>
      <c r="B39" s="10"/>
      <c r="C39" s="10" t="s">
        <v>45</v>
      </c>
      <c r="D39" s="10" t="n">
        <v>2</v>
      </c>
      <c r="E39" s="11" t="n">
        <v>46189</v>
      </c>
      <c r="F39" s="12" t="n">
        <v>25.19</v>
      </c>
      <c r="G39" s="12" t="n">
        <v>24.92</v>
      </c>
      <c r="H39" s="12" t="n">
        <v>30.56</v>
      </c>
      <c r="I39" s="12" t="n">
        <v>15</v>
      </c>
      <c r="J39" s="10" t="n">
        <v>2463</v>
      </c>
      <c r="K39" s="12" t="n">
        <v>38.5</v>
      </c>
      <c r="L39" s="12" t="n">
        <v>14.96</v>
      </c>
      <c r="M39" s="13" t="n">
        <v>13.02</v>
      </c>
      <c r="N39" s="14" t="n">
        <f aca="false">J39/(F39*G39)</f>
        <v>3.92363144436154</v>
      </c>
      <c r="O39" s="10" t="n">
        <f aca="false">J39/(F39*G39)</f>
        <v>3.92363144436154</v>
      </c>
      <c r="P39" s="10" t="n">
        <f aca="false">M39/(F39*G39*H39)</f>
        <v>0.000678705594175834</v>
      </c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customFormat="false" ht="15.75" hidden="false" customHeight="true" outlineLevel="0" collapsed="false">
      <c r="A40" s="10"/>
      <c r="B40" s="10"/>
      <c r="C40" s="10" t="s">
        <v>45</v>
      </c>
      <c r="D40" s="10" t="n">
        <v>3</v>
      </c>
      <c r="E40" s="11" t="n">
        <v>46191</v>
      </c>
      <c r="F40" s="12" t="n">
        <v>24.92</v>
      </c>
      <c r="G40" s="12" t="n">
        <v>25.88</v>
      </c>
      <c r="H40" s="12" t="n">
        <v>30.26</v>
      </c>
      <c r="I40" s="12" t="n">
        <v>16.61</v>
      </c>
      <c r="J40" s="10" t="n">
        <v>3386</v>
      </c>
      <c r="K40" s="12" t="n">
        <v>51.5</v>
      </c>
      <c r="L40" s="12" t="n">
        <v>16.63</v>
      </c>
      <c r="M40" s="13" t="n">
        <v>14.43</v>
      </c>
      <c r="N40" s="14" t="n">
        <f aca="false">J40/(F40*G40)</f>
        <v>5.25018544659758</v>
      </c>
      <c r="O40" s="10" t="n">
        <f aca="false">J40/(F40*G40)</f>
        <v>5.25018544659758</v>
      </c>
      <c r="P40" s="10" t="n">
        <f aca="false">M40/(F40*G40*H40)</f>
        <v>0.000739409621383363</v>
      </c>
      <c r="Q40" s="16"/>
      <c r="R40" s="15"/>
      <c r="S40" s="15"/>
      <c r="T40" s="15"/>
      <c r="U40" s="15"/>
      <c r="V40" s="15"/>
      <c r="W40" s="15"/>
      <c r="X40" s="15"/>
      <c r="Y40" s="15"/>
      <c r="Z40" s="15"/>
    </row>
    <row r="41" customFormat="false" ht="15.75" hidden="false" customHeight="true" outlineLevel="0" collapsed="false">
      <c r="A41" s="10"/>
      <c r="B41" s="10"/>
      <c r="C41" s="10" t="s">
        <v>45</v>
      </c>
      <c r="D41" s="10" t="n">
        <v>4</v>
      </c>
      <c r="E41" s="11" t="n">
        <v>46198</v>
      </c>
      <c r="F41" s="12" t="n">
        <v>25.6</v>
      </c>
      <c r="G41" s="12" t="n">
        <v>24.99</v>
      </c>
      <c r="H41" s="12" t="n">
        <v>30.49</v>
      </c>
      <c r="I41" s="12" t="n">
        <v>15.77</v>
      </c>
      <c r="J41" s="10" t="n">
        <v>3536</v>
      </c>
      <c r="K41" s="12" t="n">
        <v>54</v>
      </c>
      <c r="L41" s="12" t="n">
        <v>15.74</v>
      </c>
      <c r="M41" s="13" t="n">
        <v>13.73</v>
      </c>
      <c r="N41" s="14" t="n">
        <f aca="false">J41/(F41*G41)</f>
        <v>5.52721088435374</v>
      </c>
      <c r="O41" s="10" t="n">
        <f aca="false">J41/(F41*G41)</f>
        <v>5.52721088435374</v>
      </c>
      <c r="P41" s="10" t="n">
        <f aca="false">M41/(F41*G41*H41)</f>
        <v>0.000703893397306447</v>
      </c>
      <c r="Q41" s="16"/>
      <c r="R41" s="15"/>
      <c r="S41" s="15"/>
      <c r="T41" s="15"/>
      <c r="U41" s="15"/>
      <c r="V41" s="15"/>
      <c r="W41" s="15"/>
      <c r="X41" s="15"/>
      <c r="Y41" s="15"/>
      <c r="Z41" s="15"/>
    </row>
    <row r="42" customFormat="false" ht="15.75" hidden="false" customHeight="true" outlineLevel="0" collapsed="false">
      <c r="A42" s="10" t="s">
        <v>46</v>
      </c>
      <c r="B42" s="10" t="s">
        <v>47</v>
      </c>
      <c r="C42" s="10" t="s">
        <v>48</v>
      </c>
      <c r="D42" s="10" t="n">
        <v>1</v>
      </c>
      <c r="E42" s="11" t="n">
        <v>46189</v>
      </c>
      <c r="F42" s="12" t="n">
        <v>25.68</v>
      </c>
      <c r="G42" s="12" t="n">
        <v>24.42</v>
      </c>
      <c r="H42" s="12" t="n">
        <v>30.35</v>
      </c>
      <c r="I42" s="12" t="n">
        <v>18.88</v>
      </c>
      <c r="J42" s="10" t="n">
        <v>5448</v>
      </c>
      <c r="K42" s="12" t="n">
        <v>85.2</v>
      </c>
      <c r="L42" s="12" t="n">
        <v>18.88</v>
      </c>
      <c r="M42" s="13" t="n">
        <v>16.86</v>
      </c>
      <c r="N42" s="14" t="n">
        <f aca="false">J42/(F42*G42)</f>
        <v>8.68753205201803</v>
      </c>
      <c r="O42" s="10" t="n">
        <f aca="false">J42/(F42*G42)</f>
        <v>8.68753205201803</v>
      </c>
      <c r="P42" s="10" t="n">
        <f aca="false">M42/(F42*G42*H42)</f>
        <v>0.000885845933498707</v>
      </c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customFormat="false" ht="15.75" hidden="false" customHeight="true" outlineLevel="0" collapsed="false">
      <c r="A43" s="10"/>
      <c r="B43" s="10"/>
      <c r="C43" s="10" t="s">
        <v>48</v>
      </c>
      <c r="D43" s="10" t="n">
        <v>2</v>
      </c>
      <c r="E43" s="11" t="n">
        <v>46189</v>
      </c>
      <c r="F43" s="12" t="n">
        <v>25.53</v>
      </c>
      <c r="G43" s="12" t="n">
        <v>24.31</v>
      </c>
      <c r="H43" s="12" t="n">
        <v>30.43</v>
      </c>
      <c r="I43" s="12" t="n">
        <v>17.81</v>
      </c>
      <c r="J43" s="10" t="n">
        <v>4178</v>
      </c>
      <c r="K43" s="12" t="n">
        <v>66.1</v>
      </c>
      <c r="L43" s="12" t="n">
        <v>17.8</v>
      </c>
      <c r="M43" s="13" t="n">
        <v>15.85</v>
      </c>
      <c r="N43" s="14" t="n">
        <f aca="false">J43/(F43*G43)</f>
        <v>6.73182258860008</v>
      </c>
      <c r="O43" s="10" t="n">
        <f aca="false">J43/(F43*G43)</f>
        <v>6.73182258860008</v>
      </c>
      <c r="P43" s="10" t="n">
        <f aca="false">M43/(F43*G43*H43)</f>
        <v>0.000839250368378055</v>
      </c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customFormat="false" ht="15.75" hidden="false" customHeight="true" outlineLevel="0" collapsed="false">
      <c r="A44" s="10"/>
      <c r="B44" s="10"/>
      <c r="C44" s="10" t="s">
        <v>48</v>
      </c>
      <c r="D44" s="10" t="n">
        <v>3</v>
      </c>
      <c r="E44" s="11" t="n">
        <v>46191</v>
      </c>
      <c r="F44" s="12" t="n">
        <v>24.46</v>
      </c>
      <c r="G44" s="12" t="n">
        <v>25.4</v>
      </c>
      <c r="H44" s="12" t="n">
        <v>30.52</v>
      </c>
      <c r="I44" s="12" t="n">
        <v>12.79</v>
      </c>
      <c r="J44" s="10" t="n">
        <v>3434</v>
      </c>
      <c r="K44" s="12" t="n">
        <v>56.1</v>
      </c>
      <c r="L44" s="12" t="n">
        <v>19.77</v>
      </c>
      <c r="M44" s="13" t="n">
        <v>17.67</v>
      </c>
      <c r="N44" s="14" t="n">
        <f aca="false">J44/(F44*G44)</f>
        <v>5.52726289426414</v>
      </c>
      <c r="O44" s="10" t="n">
        <f aca="false">J44/(F44*G44)</f>
        <v>5.52726289426414</v>
      </c>
      <c r="P44" s="10" t="n">
        <f aca="false">M44/(F44*G44*H44)</f>
        <v>0.000931883990845222</v>
      </c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customFormat="false" ht="15.75" hidden="false" customHeight="true" outlineLevel="0" collapsed="false">
      <c r="A45" s="10"/>
      <c r="B45" s="10"/>
      <c r="C45" s="10" t="s">
        <v>48</v>
      </c>
      <c r="D45" s="10" t="n">
        <v>4</v>
      </c>
      <c r="E45" s="11" t="n">
        <v>46198</v>
      </c>
      <c r="F45" s="12" t="n">
        <v>24.31</v>
      </c>
      <c r="G45" s="12" t="n">
        <v>26.04</v>
      </c>
      <c r="H45" s="12" t="n">
        <v>30.56</v>
      </c>
      <c r="I45" s="12" t="n">
        <v>19.01</v>
      </c>
      <c r="J45" s="10" t="n">
        <v>3675</v>
      </c>
      <c r="K45" s="12" t="n">
        <v>57</v>
      </c>
      <c r="L45" s="12" t="n">
        <v>18.98</v>
      </c>
      <c r="M45" s="13" t="n">
        <v>16.94</v>
      </c>
      <c r="N45" s="14" t="n">
        <f aca="false">J45/(F45*G45)</f>
        <v>5.80539005586444</v>
      </c>
      <c r="O45" s="10" t="n">
        <f aca="false">J45/(F45*G45)</f>
        <v>5.80539005586444</v>
      </c>
      <c r="P45" s="10" t="n">
        <f aca="false">M45/(F45*G45*H45)</f>
        <v>0.000875657188680625</v>
      </c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customFormat="false" ht="15.75" hidden="false" customHeight="true" outlineLevel="0" collapsed="false">
      <c r="A46" s="10" t="s">
        <v>49</v>
      </c>
      <c r="B46" s="10" t="s">
        <v>50</v>
      </c>
      <c r="C46" s="10" t="s">
        <v>51</v>
      </c>
      <c r="D46" s="10" t="n">
        <v>1</v>
      </c>
      <c r="E46" s="11" t="n">
        <v>46189</v>
      </c>
      <c r="F46" s="12" t="n">
        <v>24.3</v>
      </c>
      <c r="G46" s="12" t="n">
        <v>26.01</v>
      </c>
      <c r="H46" s="12" t="n">
        <v>30.46</v>
      </c>
      <c r="I46" s="12" t="n">
        <v>17.84</v>
      </c>
      <c r="J46" s="10" t="n">
        <v>4423</v>
      </c>
      <c r="K46" s="12" t="n">
        <v>68.7</v>
      </c>
      <c r="L46" s="12" t="n">
        <v>17.85</v>
      </c>
      <c r="M46" s="13" t="n">
        <v>15.71</v>
      </c>
      <c r="N46" s="14" t="n">
        <f aca="false">J46/(F46*G46)</f>
        <v>6.99794159574586</v>
      </c>
      <c r="O46" s="10" t="n">
        <f aca="false">J46/(F46*G46)</f>
        <v>6.99794159574586</v>
      </c>
      <c r="P46" s="10" t="n">
        <f aca="false">M46/(F46*G46*H46)</f>
        <v>0.000816017852638082</v>
      </c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customFormat="false" ht="15.75" hidden="false" customHeight="true" outlineLevel="0" collapsed="false">
      <c r="A47" s="10"/>
      <c r="B47" s="10"/>
      <c r="C47" s="10" t="s">
        <v>51</v>
      </c>
      <c r="D47" s="10" t="n">
        <v>2</v>
      </c>
      <c r="E47" s="11" t="n">
        <v>46189</v>
      </c>
      <c r="F47" s="12" t="n">
        <v>24.48</v>
      </c>
      <c r="G47" s="12" t="n">
        <v>24.87</v>
      </c>
      <c r="H47" s="12" t="n">
        <v>30.53</v>
      </c>
      <c r="I47" s="12" t="n">
        <v>18.68</v>
      </c>
      <c r="J47" s="10" t="n">
        <v>4450</v>
      </c>
      <c r="K47" s="12" t="n">
        <v>71.5</v>
      </c>
      <c r="L47" s="12" t="n">
        <v>18.65</v>
      </c>
      <c r="M47" s="13" t="n">
        <v>16.46</v>
      </c>
      <c r="N47" s="14" t="n">
        <f aca="false">J47/(F47*G47)</f>
        <v>7.3092499296998</v>
      </c>
      <c r="O47" s="10" t="n">
        <f aca="false">J47/(F47*G47)</f>
        <v>7.3092499296998</v>
      </c>
      <c r="P47" s="10" t="n">
        <f aca="false">M47/(F47*G47*H47)</f>
        <v>0.000885555587930521</v>
      </c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customFormat="false" ht="15.75" hidden="false" customHeight="true" outlineLevel="0" collapsed="false">
      <c r="A48" s="10"/>
      <c r="B48" s="10"/>
      <c r="C48" s="10" t="s">
        <v>51</v>
      </c>
      <c r="D48" s="10" t="n">
        <v>3</v>
      </c>
      <c r="E48" s="11" t="n">
        <v>46191</v>
      </c>
      <c r="F48" s="12" t="n">
        <v>25.47</v>
      </c>
      <c r="G48" s="12" t="n">
        <v>24.76</v>
      </c>
      <c r="H48" s="12" t="n">
        <v>30.54</v>
      </c>
      <c r="I48" s="12" t="n">
        <v>17.66</v>
      </c>
      <c r="J48" s="10" t="n">
        <v>5160</v>
      </c>
      <c r="K48" s="12" t="n">
        <v>80</v>
      </c>
      <c r="L48" s="12" t="n">
        <v>17.65</v>
      </c>
      <c r="M48" s="13" t="n">
        <v>15.6</v>
      </c>
      <c r="N48" s="14" t="n">
        <f aca="false">J48/(F48*G48)</f>
        <v>8.18220047913444</v>
      </c>
      <c r="O48" s="10" t="n">
        <f aca="false">J48/(F48*G48)</f>
        <v>8.18220047913444</v>
      </c>
      <c r="P48" s="10" t="n">
        <f aca="false">M48/(F48*G48*H48)</f>
        <v>0.000809983142418998</v>
      </c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customFormat="false" ht="15.75" hidden="false" customHeight="true" outlineLevel="0" collapsed="false">
      <c r="A49" s="10"/>
      <c r="B49" s="10"/>
      <c r="C49" s="10" t="s">
        <v>51</v>
      </c>
      <c r="D49" s="10" t="n">
        <v>4</v>
      </c>
      <c r="E49" s="11" t="n">
        <v>46198</v>
      </c>
      <c r="F49" s="12" t="n">
        <v>25.27</v>
      </c>
      <c r="G49" s="12" t="n">
        <v>24.5</v>
      </c>
      <c r="H49" s="12" t="n">
        <v>30.44</v>
      </c>
      <c r="I49" s="12" t="n">
        <v>17.18</v>
      </c>
      <c r="J49" s="10" t="n">
        <v>4990</v>
      </c>
      <c r="K49" s="12" t="n">
        <v>78</v>
      </c>
      <c r="L49" s="12" t="n">
        <v>17.2</v>
      </c>
      <c r="M49" s="13" t="n">
        <v>15.18</v>
      </c>
      <c r="N49" s="14" t="n">
        <f aca="false">J49/(F49*G49)</f>
        <v>8.05989194253087</v>
      </c>
      <c r="O49" s="10" t="n">
        <f aca="false">J49/(F49*G49)</f>
        <v>8.05989194253087</v>
      </c>
      <c r="P49" s="10" t="n">
        <f aca="false">M49/(F49*G49*H49)</f>
        <v>0.000805481921053794</v>
      </c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customFormat="false" ht="15.75" hidden="false" customHeight="true" outlineLevel="0" collapsed="false">
      <c r="A50" s="10" t="s">
        <v>52</v>
      </c>
      <c r="B50" s="10" t="s">
        <v>53</v>
      </c>
      <c r="C50" s="10" t="s">
        <v>54</v>
      </c>
      <c r="D50" s="10" t="n">
        <v>1</v>
      </c>
      <c r="E50" s="11" t="n">
        <v>46189</v>
      </c>
      <c r="F50" s="12" t="n">
        <v>25.62</v>
      </c>
      <c r="G50" s="12" t="n">
        <v>23.3</v>
      </c>
      <c r="H50" s="12" t="n">
        <v>30.51</v>
      </c>
      <c r="I50" s="12" t="n">
        <v>16.27</v>
      </c>
      <c r="J50" s="10" t="n">
        <v>3734</v>
      </c>
      <c r="K50" s="12" t="n">
        <v>61.4</v>
      </c>
      <c r="L50" s="12" t="n">
        <v>16.27</v>
      </c>
      <c r="M50" s="13" t="n">
        <v>14.37</v>
      </c>
      <c r="N50" s="14" t="n">
        <f aca="false">J50/(F50*G50)</f>
        <v>6.25517215962583</v>
      </c>
      <c r="O50" s="10" t="n">
        <f aca="false">J50/(F50*G50)</f>
        <v>6.25517215962583</v>
      </c>
      <c r="P50" s="10" t="n">
        <f aca="false">M50/(F50*G50*H50)</f>
        <v>0.00078900456156975</v>
      </c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customFormat="false" ht="15.75" hidden="false" customHeight="true" outlineLevel="0" collapsed="false">
      <c r="A51" s="10"/>
      <c r="B51" s="10"/>
      <c r="C51" s="10" t="s">
        <v>54</v>
      </c>
      <c r="D51" s="10" t="n">
        <v>2</v>
      </c>
      <c r="E51" s="11" t="n">
        <v>46189</v>
      </c>
      <c r="F51" s="12" t="n">
        <v>26.48</v>
      </c>
      <c r="G51" s="12" t="n">
        <v>24.16</v>
      </c>
      <c r="H51" s="12" t="n">
        <v>30.5</v>
      </c>
      <c r="I51" s="12" t="n">
        <v>16.18</v>
      </c>
      <c r="J51" s="10" t="n">
        <v>4132</v>
      </c>
      <c r="K51" s="12" t="n">
        <v>63.2</v>
      </c>
      <c r="L51" s="12" t="n">
        <v>16.19</v>
      </c>
      <c r="M51" s="13" t="n">
        <v>14.44</v>
      </c>
      <c r="N51" s="14" t="n">
        <f aca="false">J51/(F51*G51)</f>
        <v>6.4587043076369</v>
      </c>
      <c r="O51" s="10" t="n">
        <f aca="false">J51/(F51*G51)</f>
        <v>6.4587043076369</v>
      </c>
      <c r="P51" s="10" t="n">
        <f aca="false">M51/(F51*G51*H51)</f>
        <v>0.000740035311779132</v>
      </c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customFormat="false" ht="15.75" hidden="false" customHeight="true" outlineLevel="0" collapsed="false">
      <c r="A52" s="10"/>
      <c r="B52" s="10"/>
      <c r="C52" s="10" t="s">
        <v>54</v>
      </c>
      <c r="D52" s="10" t="n">
        <v>3</v>
      </c>
      <c r="E52" s="11" t="n">
        <v>46191</v>
      </c>
      <c r="F52" s="12" t="n">
        <v>25.41</v>
      </c>
      <c r="G52" s="12" t="n">
        <v>23.94</v>
      </c>
      <c r="H52" s="12" t="n">
        <v>30.58</v>
      </c>
      <c r="I52" s="12" t="n">
        <v>14.02</v>
      </c>
      <c r="J52" s="10" t="n">
        <v>3819</v>
      </c>
      <c r="K52" s="12" t="n">
        <v>61.7</v>
      </c>
      <c r="L52" s="12" t="n">
        <v>14.08</v>
      </c>
      <c r="M52" s="13" t="n">
        <v>12.51</v>
      </c>
      <c r="N52" s="14" t="n">
        <f aca="false">J52/(F52*G52)</f>
        <v>6.2779932909803</v>
      </c>
      <c r="O52" s="10" t="n">
        <f aca="false">J52/(F52*G52)</f>
        <v>6.2779932909803</v>
      </c>
      <c r="P52" s="10" t="n">
        <f aca="false">M52/(F52*G52*H52)</f>
        <v>0.000672498031598261</v>
      </c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customFormat="false" ht="15.75" hidden="false" customHeight="true" outlineLevel="0" collapsed="false">
      <c r="A53" s="10"/>
      <c r="B53" s="10"/>
      <c r="C53" s="10" t="s">
        <v>54</v>
      </c>
      <c r="D53" s="10" t="n">
        <v>4</v>
      </c>
      <c r="E53" s="11" t="n">
        <v>46198</v>
      </c>
      <c r="F53" s="12" t="n">
        <v>25.4</v>
      </c>
      <c r="G53" s="12" t="n">
        <v>23.78</v>
      </c>
      <c r="H53" s="12" t="n">
        <v>30.55</v>
      </c>
      <c r="I53" s="12" t="n">
        <v>14.89</v>
      </c>
      <c r="J53" s="10" t="n">
        <v>4340</v>
      </c>
      <c r="K53" s="12" t="n">
        <v>70.4</v>
      </c>
      <c r="L53" s="12" t="s">
        <v>55</v>
      </c>
      <c r="M53" s="13" t="n">
        <v>13.27</v>
      </c>
      <c r="N53" s="14" t="n">
        <f aca="false">J53/(F53*G53)</f>
        <v>7.18528770951571</v>
      </c>
      <c r="O53" s="10" t="n">
        <f aca="false">J53/(F53*G53)</f>
        <v>7.18528770951571</v>
      </c>
      <c r="P53" s="10" t="n">
        <f aca="false">M53/(F53*G53*H53)</f>
        <v>0.000719141151887239</v>
      </c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customFormat="false" ht="15.75" hidden="false" customHeight="true" outlineLevel="0" collapsed="false">
      <c r="A54" s="10" t="s">
        <v>56</v>
      </c>
      <c r="B54" s="10" t="s">
        <v>57</v>
      </c>
      <c r="C54" s="10" t="s">
        <v>58</v>
      </c>
      <c r="D54" s="10" t="n">
        <v>1</v>
      </c>
      <c r="E54" s="11" t="n">
        <v>46189</v>
      </c>
      <c r="F54" s="12" t="n">
        <v>24.72</v>
      </c>
      <c r="G54" s="12" t="n">
        <v>25.7</v>
      </c>
      <c r="H54" s="12" t="n">
        <v>30.41</v>
      </c>
      <c r="I54" s="12" t="n">
        <v>15.32</v>
      </c>
      <c r="J54" s="10" t="n">
        <v>4018</v>
      </c>
      <c r="K54" s="12" t="n">
        <v>62.1</v>
      </c>
      <c r="L54" s="12" t="n">
        <v>15.3</v>
      </c>
      <c r="M54" s="13" t="n">
        <v>13.67</v>
      </c>
      <c r="N54" s="14" t="n">
        <f aca="false">J54/(F54*G54)</f>
        <v>6.32453124803244</v>
      </c>
      <c r="O54" s="10" t="n">
        <f aca="false">J54/(F54*G54)</f>
        <v>6.32453124803244</v>
      </c>
      <c r="P54" s="10" t="n">
        <f aca="false">M54/(F54*G54*H54)</f>
        <v>0.000707571781640653</v>
      </c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customFormat="false" ht="15.75" hidden="false" customHeight="true" outlineLevel="0" collapsed="false">
      <c r="A55" s="10"/>
      <c r="B55" s="10"/>
      <c r="C55" s="10" t="s">
        <v>58</v>
      </c>
      <c r="D55" s="10" t="n">
        <v>2</v>
      </c>
      <c r="E55" s="11" t="n">
        <v>46189</v>
      </c>
      <c r="F55" s="12" t="n">
        <v>24.82</v>
      </c>
      <c r="G55" s="12" t="n">
        <v>25.2</v>
      </c>
      <c r="H55" s="12" t="n">
        <v>30.24</v>
      </c>
      <c r="I55" s="12" t="n">
        <v>15.62</v>
      </c>
      <c r="J55" s="10" t="n">
        <v>4031</v>
      </c>
      <c r="K55" s="12" t="n">
        <v>63.3</v>
      </c>
      <c r="L55" s="12" t="n">
        <v>15.63</v>
      </c>
      <c r="M55" s="13" t="n">
        <v>13.94</v>
      </c>
      <c r="N55" s="14" t="n">
        <f aca="false">J55/(F55*G55)</f>
        <v>6.44481536907</v>
      </c>
      <c r="O55" s="10" t="n">
        <f aca="false">J55/(F55*G55)</f>
        <v>6.44481536907</v>
      </c>
      <c r="P55" s="10" t="n">
        <f aca="false">M55/(F55*G55*H55)</f>
        <v>0.000737018974679336</v>
      </c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customFormat="false" ht="15.75" hidden="false" customHeight="true" outlineLevel="0" collapsed="false">
      <c r="A56" s="10"/>
      <c r="B56" s="10"/>
      <c r="C56" s="10" t="s">
        <v>58</v>
      </c>
      <c r="D56" s="10" t="n">
        <v>3</v>
      </c>
      <c r="E56" s="11" t="n">
        <v>46191</v>
      </c>
      <c r="F56" s="12" t="n">
        <v>24.94</v>
      </c>
      <c r="G56" s="12" t="n">
        <v>25.41</v>
      </c>
      <c r="H56" s="12" t="n">
        <v>30.42</v>
      </c>
      <c r="I56" s="12" t="n">
        <v>16.91</v>
      </c>
      <c r="J56" s="10" t="n">
        <v>4058</v>
      </c>
      <c r="K56" s="12" t="n">
        <v>62.9</v>
      </c>
      <c r="L56" s="12" t="n">
        <v>16.9</v>
      </c>
      <c r="M56" s="13" t="n">
        <v>15.04</v>
      </c>
      <c r="N56" s="14" t="n">
        <f aca="false">J56/(F56*G56)</f>
        <v>6.40340437672216</v>
      </c>
      <c r="O56" s="10" t="n">
        <f aca="false">J56/(F56*G56)</f>
        <v>6.40340437672216</v>
      </c>
      <c r="P56" s="10" t="n">
        <f aca="false">M56/(F56*G56*H56)</f>
        <v>0.000780166885112461</v>
      </c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customFormat="false" ht="15.75" hidden="false" customHeight="true" outlineLevel="0" collapsed="false">
      <c r="A57" s="10"/>
      <c r="B57" s="10"/>
      <c r="C57" s="10" t="s">
        <v>58</v>
      </c>
      <c r="D57" s="10" t="n">
        <v>4</v>
      </c>
      <c r="E57" s="11" t="n">
        <v>46198</v>
      </c>
      <c r="F57" s="12" t="n">
        <v>25.36</v>
      </c>
      <c r="G57" s="12" t="n">
        <v>24.83</v>
      </c>
      <c r="H57" s="12" t="n">
        <v>30.35</v>
      </c>
      <c r="I57" s="12" t="n">
        <v>15.69</v>
      </c>
      <c r="J57" s="10" t="n">
        <v>3666</v>
      </c>
      <c r="K57" s="12" t="n">
        <v>57.1</v>
      </c>
      <c r="L57" s="12" t="n">
        <v>15.72</v>
      </c>
      <c r="M57" s="13" t="n">
        <v>14.02</v>
      </c>
      <c r="N57" s="14" t="n">
        <f aca="false">J57/(F57*G57)</f>
        <v>5.82192346441607</v>
      </c>
      <c r="O57" s="10" t="n">
        <f aca="false">J57/(F57*G57)</f>
        <v>5.82192346441607</v>
      </c>
      <c r="P57" s="10" t="n">
        <f aca="false">M57/(F57*G57*H57)</f>
        <v>0.000733606801995571</v>
      </c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customFormat="false" ht="15.75" hidden="false" customHeight="true" outlineLevel="0" collapsed="false">
      <c r="A58" s="10" t="s">
        <v>59</v>
      </c>
      <c r="B58" s="10" t="s">
        <v>60</v>
      </c>
      <c r="C58" s="10" t="s">
        <v>61</v>
      </c>
      <c r="D58" s="10" t="n">
        <v>1</v>
      </c>
      <c r="E58" s="11" t="n">
        <v>46189</v>
      </c>
      <c r="F58" s="12" t="n">
        <v>25.67</v>
      </c>
      <c r="G58" s="12" t="n">
        <v>24.83</v>
      </c>
      <c r="H58" s="12" t="n">
        <v>30.58</v>
      </c>
      <c r="I58" s="12" t="n">
        <v>12.75</v>
      </c>
      <c r="J58" s="10" t="n">
        <v>2598</v>
      </c>
      <c r="K58" s="12" t="n">
        <v>34.9</v>
      </c>
      <c r="L58" s="12" t="n">
        <v>12.73</v>
      </c>
      <c r="M58" s="13" t="n">
        <v>11.22</v>
      </c>
      <c r="N58" s="14" t="n">
        <f aca="false">J58/(F58*G58)</f>
        <v>4.07602236697663</v>
      </c>
      <c r="O58" s="10" t="n">
        <f aca="false">J58/(F58*G58)</f>
        <v>4.07602236697663</v>
      </c>
      <c r="P58" s="10" t="n">
        <f aca="false">M58/(F58*G58*H58)</f>
        <v>0.000575642416457064</v>
      </c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customFormat="false" ht="15.75" hidden="false" customHeight="true" outlineLevel="0" collapsed="false">
      <c r="A59" s="10"/>
      <c r="B59" s="10"/>
      <c r="C59" s="10" t="s">
        <v>61</v>
      </c>
      <c r="D59" s="10" t="n">
        <v>2</v>
      </c>
      <c r="E59" s="11" t="n">
        <v>46189</v>
      </c>
      <c r="F59" s="12" t="n">
        <v>24.94</v>
      </c>
      <c r="G59" s="12" t="n">
        <v>26.12</v>
      </c>
      <c r="H59" s="12" t="n">
        <v>30.55</v>
      </c>
      <c r="I59" s="12" t="n">
        <v>12.02</v>
      </c>
      <c r="J59" s="10" t="n">
        <v>2836</v>
      </c>
      <c r="K59" s="12" t="n">
        <v>42.8</v>
      </c>
      <c r="L59" s="12" t="n">
        <v>12.02</v>
      </c>
      <c r="M59" s="13" t="n">
        <v>10.57</v>
      </c>
      <c r="N59" s="14" t="n">
        <f aca="false">J59/(F59*G59)</f>
        <v>4.35348051249492</v>
      </c>
      <c r="O59" s="10" t="n">
        <f aca="false">J59/(F59*G59)</f>
        <v>4.35348051249492</v>
      </c>
      <c r="P59" s="10" t="n">
        <f aca="false">M59/(F59*G59*H59)</f>
        <v>0.000531121828733114</v>
      </c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customFormat="false" ht="15.75" hidden="false" customHeight="true" outlineLevel="0" collapsed="false">
      <c r="A60" s="10"/>
      <c r="B60" s="10"/>
      <c r="C60" s="10" t="s">
        <v>61</v>
      </c>
      <c r="D60" s="10" t="n">
        <v>3</v>
      </c>
      <c r="E60" s="11" t="n">
        <v>46191</v>
      </c>
      <c r="F60" s="12" t="n">
        <v>24.85</v>
      </c>
      <c r="G60" s="12" t="n">
        <v>25.14</v>
      </c>
      <c r="H60" s="12" t="n">
        <v>30.49</v>
      </c>
      <c r="I60" s="12" t="n">
        <v>13.47</v>
      </c>
      <c r="J60" s="10" t="n">
        <v>3098</v>
      </c>
      <c r="K60" s="12" t="n">
        <v>48.6</v>
      </c>
      <c r="L60" s="12" t="n">
        <v>13.45</v>
      </c>
      <c r="M60" s="13" t="n">
        <v>11.84</v>
      </c>
      <c r="N60" s="14" t="n">
        <f aca="false">J60/(F60*G60)</f>
        <v>4.95895020080707</v>
      </c>
      <c r="O60" s="10" t="n">
        <f aca="false">J60/(F60*G60)</f>
        <v>4.95895020080707</v>
      </c>
      <c r="P60" s="10" t="n">
        <f aca="false">M60/(F60*G60*H60)</f>
        <v>0.00062158798562108</v>
      </c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customFormat="false" ht="15.75" hidden="false" customHeight="true" outlineLevel="0" collapsed="false">
      <c r="A61" s="10"/>
      <c r="B61" s="10"/>
      <c r="C61" s="10" t="s">
        <v>61</v>
      </c>
      <c r="D61" s="10" t="n">
        <v>4</v>
      </c>
      <c r="E61" s="11" t="n">
        <v>46198</v>
      </c>
      <c r="F61" s="12" t="n">
        <v>25.55</v>
      </c>
      <c r="G61" s="12" t="n">
        <v>25.01</v>
      </c>
      <c r="H61" s="12" t="n">
        <v>30.6</v>
      </c>
      <c r="I61" s="12" t="n">
        <v>11.82</v>
      </c>
      <c r="J61" s="10" t="n">
        <v>2841</v>
      </c>
      <c r="K61" s="12" t="n">
        <v>43.5</v>
      </c>
      <c r="L61" s="12" t="n">
        <v>11.82</v>
      </c>
      <c r="M61" s="13" t="n">
        <v>10.39</v>
      </c>
      <c r="N61" s="14" t="n">
        <f aca="false">J61/(F61*G61)</f>
        <v>4.44597112231428</v>
      </c>
      <c r="O61" s="10" t="n">
        <f aca="false">J61/(F61*G61)</f>
        <v>4.44597112231428</v>
      </c>
      <c r="P61" s="10" t="n">
        <f aca="false">M61/(F61*G61*H61)</f>
        <v>0.000531360815611338</v>
      </c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customFormat="false" ht="15.75" hidden="false" customHeight="true" outlineLevel="0" collapsed="false">
      <c r="A62" s="10" t="s">
        <v>62</v>
      </c>
      <c r="B62" s="10" t="s">
        <v>63</v>
      </c>
      <c r="C62" s="10" t="s">
        <v>64</v>
      </c>
      <c r="D62" s="10" t="n">
        <v>1</v>
      </c>
      <c r="E62" s="11" t="n">
        <v>46189</v>
      </c>
      <c r="F62" s="12" t="n">
        <v>24.78</v>
      </c>
      <c r="G62" s="12" t="n">
        <v>25.95</v>
      </c>
      <c r="H62" s="12" t="n">
        <v>30.48</v>
      </c>
      <c r="I62" s="12" t="n">
        <v>14.25</v>
      </c>
      <c r="J62" s="10" t="n">
        <v>3728</v>
      </c>
      <c r="K62" s="12" t="n">
        <v>56.7</v>
      </c>
      <c r="L62" s="12" t="n">
        <v>14.24</v>
      </c>
      <c r="M62" s="13" t="n">
        <v>12.84</v>
      </c>
      <c r="N62" s="14" t="n">
        <f aca="false">J62/(F62*G62)</f>
        <v>5.7974530395418</v>
      </c>
      <c r="O62" s="10" t="n">
        <f aca="false">J62/(F62*G62)</f>
        <v>5.7974530395418</v>
      </c>
      <c r="P62" s="10" t="n">
        <f aca="false">M62/(F62*G62*H62)</f>
        <v>0.000655105728125711</v>
      </c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customFormat="false" ht="15.75" hidden="false" customHeight="true" outlineLevel="0" collapsed="false">
      <c r="A63" s="10"/>
      <c r="B63" s="10"/>
      <c r="C63" s="10" t="s">
        <v>64</v>
      </c>
      <c r="D63" s="10" t="n">
        <v>2</v>
      </c>
      <c r="E63" s="11" t="n">
        <v>46189</v>
      </c>
      <c r="F63" s="12" t="n">
        <v>26</v>
      </c>
      <c r="G63" s="12" t="n">
        <v>24.86</v>
      </c>
      <c r="H63" s="12" t="n">
        <v>30.35</v>
      </c>
      <c r="I63" s="12" t="n">
        <v>13.46</v>
      </c>
      <c r="J63" s="10" t="n">
        <v>3309</v>
      </c>
      <c r="K63" s="12" t="n">
        <v>50.1</v>
      </c>
      <c r="L63" s="12" t="n">
        <v>13.42</v>
      </c>
      <c r="M63" s="13" t="n">
        <v>12.04</v>
      </c>
      <c r="N63" s="14" t="n">
        <f aca="false">J63/(F63*G63)</f>
        <v>5.11943808403985</v>
      </c>
      <c r="O63" s="10" t="n">
        <f aca="false">J63/(F63*G63)</f>
        <v>5.11943808403985</v>
      </c>
      <c r="P63" s="10" t="n">
        <f aca="false">M63/(F63*G63*H63)</f>
        <v>0.000613752563716845</v>
      </c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customFormat="false" ht="15.75" hidden="false" customHeight="true" outlineLevel="0" collapsed="false">
      <c r="A64" s="10"/>
      <c r="B64" s="10"/>
      <c r="C64" s="10" t="s">
        <v>64</v>
      </c>
      <c r="D64" s="10" t="n">
        <v>3</v>
      </c>
      <c r="E64" s="11" t="n">
        <v>46191</v>
      </c>
      <c r="F64" s="12" t="n">
        <v>24.72</v>
      </c>
      <c r="G64" s="12" t="n">
        <v>25.3</v>
      </c>
      <c r="H64" s="12" t="n">
        <v>30.56</v>
      </c>
      <c r="I64" s="12" t="n">
        <v>12.72</v>
      </c>
      <c r="J64" s="10" t="n">
        <v>3440</v>
      </c>
      <c r="K64" s="12" t="n">
        <v>54</v>
      </c>
      <c r="L64" s="12" t="n">
        <v>12.66</v>
      </c>
      <c r="M64" s="13" t="n">
        <v>11.41</v>
      </c>
      <c r="N64" s="14" t="n">
        <f aca="false">J64/(F64*G64)</f>
        <v>5.50033897437865</v>
      </c>
      <c r="O64" s="10" t="n">
        <f aca="false">J64/(F64*G64)</f>
        <v>5.50033897437865</v>
      </c>
      <c r="P64" s="10" t="n">
        <f aca="false">M64/(F64*G64*H64)</f>
        <v>0.000596984845839489</v>
      </c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customFormat="false" ht="15.75" hidden="false" customHeight="true" outlineLevel="0" collapsed="false">
      <c r="A65" s="10"/>
      <c r="B65" s="10"/>
      <c r="C65" s="10" t="s">
        <v>64</v>
      </c>
      <c r="D65" s="17" t="n">
        <v>4</v>
      </c>
      <c r="E65" s="18" t="n">
        <v>46198</v>
      </c>
      <c r="F65" s="19" t="n">
        <v>25.34</v>
      </c>
      <c r="G65" s="19" t="n">
        <v>24.85</v>
      </c>
      <c r="H65" s="19" t="n">
        <v>30.59</v>
      </c>
      <c r="I65" s="19" t="n">
        <v>14.28</v>
      </c>
      <c r="J65" s="10" t="n">
        <v>3994</v>
      </c>
      <c r="K65" s="12" t="n">
        <v>62.2</v>
      </c>
      <c r="L65" s="12" t="n">
        <v>14.32</v>
      </c>
      <c r="M65" s="13" t="n">
        <v>12.87</v>
      </c>
      <c r="N65" s="14" t="n">
        <f aca="false">J65/(F65*G65)</f>
        <v>6.34271294697943</v>
      </c>
      <c r="O65" s="10" t="n">
        <f aca="false">J65/(F65*G65)</f>
        <v>6.34271294697943</v>
      </c>
      <c r="P65" s="10" t="n">
        <f aca="false">M65/(F65*G65*H65)</f>
        <v>0.000668137836270794</v>
      </c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customFormat="false" ht="15.75" hidden="false" customHeight="true" outlineLevel="0" collapsed="false">
      <c r="A66" s="10" t="s">
        <v>65</v>
      </c>
      <c r="B66" s="10" t="s">
        <v>66</v>
      </c>
      <c r="C66" s="10" t="s">
        <v>67</v>
      </c>
      <c r="D66" s="10" t="n">
        <v>1</v>
      </c>
      <c r="E66" s="11" t="n">
        <v>46189</v>
      </c>
      <c r="F66" s="12" t="n">
        <v>25.34</v>
      </c>
      <c r="G66" s="12" t="n">
        <v>24.74</v>
      </c>
      <c r="H66" s="12" t="n">
        <v>30.41</v>
      </c>
      <c r="I66" s="12" t="n">
        <v>7.63</v>
      </c>
      <c r="J66" s="10" t="n">
        <v>1727</v>
      </c>
      <c r="K66" s="12" t="n">
        <v>27.1</v>
      </c>
      <c r="L66" s="12" t="n">
        <v>7.65</v>
      </c>
      <c r="M66" s="13" t="n">
        <v>6.72</v>
      </c>
      <c r="N66" s="14" t="n">
        <f aca="false">J66/(F66*G66)</f>
        <v>2.75477435734161</v>
      </c>
      <c r="O66" s="10" t="n">
        <f aca="false">J66/(F66*G66)</f>
        <v>2.75477435734161</v>
      </c>
      <c r="P66" s="10" t="n">
        <f aca="false">M66/(F66*G66*H66)</f>
        <v>0.000352489794109639</v>
      </c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customFormat="false" ht="15.75" hidden="false" customHeight="true" outlineLevel="0" collapsed="false">
      <c r="A67" s="10"/>
      <c r="B67" s="10"/>
      <c r="C67" s="10" t="s">
        <v>67</v>
      </c>
      <c r="D67" s="10" t="n">
        <v>2</v>
      </c>
      <c r="E67" s="11" t="n">
        <v>46189</v>
      </c>
      <c r="F67" s="12" t="n">
        <v>26.65</v>
      </c>
      <c r="G67" s="12" t="n">
        <v>24.85</v>
      </c>
      <c r="H67" s="12" t="n">
        <v>30.59</v>
      </c>
      <c r="I67" s="12" t="n">
        <v>8.02</v>
      </c>
      <c r="J67" s="10" t="n">
        <v>1869</v>
      </c>
      <c r="K67" s="12" t="n">
        <v>27.6</v>
      </c>
      <c r="L67" s="12" t="n">
        <v>8.03</v>
      </c>
      <c r="M67" s="13" t="n">
        <v>7.08</v>
      </c>
      <c r="N67" s="14" t="n">
        <f aca="false">J67/(F67*G67)</f>
        <v>2.82218640171234</v>
      </c>
      <c r="O67" s="10" t="n">
        <f aca="false">J67/(F67*G67)</f>
        <v>2.82218640171234</v>
      </c>
      <c r="P67" s="10" t="n">
        <f aca="false">M67/(F67*G67*H67)</f>
        <v>0.000349486314784158</v>
      </c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customFormat="false" ht="15.75" hidden="false" customHeight="true" outlineLevel="0" collapsed="false">
      <c r="A68" s="10"/>
      <c r="B68" s="10"/>
      <c r="C68" s="10" t="s">
        <v>67</v>
      </c>
      <c r="D68" s="10" t="n">
        <v>3</v>
      </c>
      <c r="E68" s="11" t="n">
        <v>46191</v>
      </c>
      <c r="F68" s="12" t="n">
        <v>25.44</v>
      </c>
      <c r="G68" s="12" t="n">
        <v>24.18</v>
      </c>
      <c r="H68" s="12" t="n">
        <v>30.48</v>
      </c>
      <c r="I68" s="12" t="n">
        <v>7.57</v>
      </c>
      <c r="J68" s="10" t="n">
        <v>1623</v>
      </c>
      <c r="K68" s="12" t="n">
        <v>25.9</v>
      </c>
      <c r="L68" s="12" t="n">
        <v>7.53</v>
      </c>
      <c r="M68" s="13" t="n">
        <v>6.67</v>
      </c>
      <c r="N68" s="14" t="n">
        <f aca="false">J68/(F68*G68)</f>
        <v>2.63842720476926</v>
      </c>
      <c r="O68" s="10" t="n">
        <f aca="false">J68/(F68*G68)</f>
        <v>2.63842720476926</v>
      </c>
      <c r="P68" s="10" t="n">
        <f aca="false">M68/(F68*G68*H68)</f>
        <v>0.000355743904789965</v>
      </c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customFormat="false" ht="15.75" hidden="false" customHeight="true" outlineLevel="0" collapsed="false">
      <c r="A69" s="10"/>
      <c r="B69" s="10"/>
      <c r="C69" s="10" t="s">
        <v>67</v>
      </c>
      <c r="D69" s="10" t="n">
        <v>4</v>
      </c>
      <c r="E69" s="11" t="n">
        <v>46198</v>
      </c>
      <c r="F69" s="12" t="n">
        <v>24.54</v>
      </c>
      <c r="G69" s="12" t="n">
        <v>25.37</v>
      </c>
      <c r="H69" s="12" t="n">
        <v>30.49</v>
      </c>
      <c r="I69" s="12" t="n">
        <v>7.7</v>
      </c>
      <c r="J69" s="10" t="n">
        <v>1848</v>
      </c>
      <c r="K69" s="12" t="n">
        <v>29.1</v>
      </c>
      <c r="L69" s="12" t="n">
        <v>7.65</v>
      </c>
      <c r="M69" s="13" t="n">
        <v>6.77</v>
      </c>
      <c r="N69" s="14" t="n">
        <f aca="false">J69/(F69*G69)</f>
        <v>2.96829418493822</v>
      </c>
      <c r="O69" s="10" t="n">
        <f aca="false">J69/(F69*G69)</f>
        <v>2.96829418493822</v>
      </c>
      <c r="P69" s="10" t="n">
        <f aca="false">M69/(F69*G69*H69)</f>
        <v>0.000356645064807845</v>
      </c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customFormat="false" ht="15.75" hidden="false" customHeight="true" outlineLevel="0" collapsed="false">
      <c r="A70" s="10" t="s">
        <v>68</v>
      </c>
      <c r="B70" s="10" t="s">
        <v>69</v>
      </c>
      <c r="C70" s="10" t="s">
        <v>70</v>
      </c>
      <c r="D70" s="10" t="n">
        <v>1</v>
      </c>
      <c r="E70" s="11" t="n">
        <v>46191</v>
      </c>
      <c r="F70" s="10" t="n">
        <v>24.41</v>
      </c>
      <c r="G70" s="10" t="n">
        <v>25.32</v>
      </c>
      <c r="H70" s="10" t="n">
        <v>30.61</v>
      </c>
      <c r="I70" s="10" t="n">
        <v>15.99</v>
      </c>
      <c r="J70" s="10" t="n">
        <v>4636</v>
      </c>
      <c r="K70" s="12" t="n">
        <v>73.6</v>
      </c>
      <c r="L70" s="12" t="n">
        <v>15.97</v>
      </c>
      <c r="M70" s="13" t="n">
        <v>14.29</v>
      </c>
      <c r="N70" s="14" t="n">
        <f aca="false">J70/(F70*G70)</f>
        <v>7.50087531784878</v>
      </c>
      <c r="O70" s="10" t="n">
        <f aca="false">J70/(F70*G70)</f>
        <v>7.50087531784878</v>
      </c>
      <c r="P70" s="10" t="n">
        <f aca="false">M70/(F70*G70*H70)</f>
        <v>0.000755331189963263</v>
      </c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customFormat="false" ht="15.75" hidden="false" customHeight="true" outlineLevel="0" collapsed="false">
      <c r="A71" s="10"/>
      <c r="B71" s="10"/>
      <c r="C71" s="10" t="s">
        <v>70</v>
      </c>
      <c r="D71" s="10" t="n">
        <v>2</v>
      </c>
      <c r="E71" s="11" t="n">
        <v>46191</v>
      </c>
      <c r="F71" s="10" t="n">
        <v>24.96</v>
      </c>
      <c r="G71" s="10" t="n">
        <v>24.96</v>
      </c>
      <c r="H71" s="10" t="n">
        <v>30.49</v>
      </c>
      <c r="I71" s="12" t="n">
        <v>15.5</v>
      </c>
      <c r="J71" s="10" t="n">
        <v>4035</v>
      </c>
      <c r="K71" s="12" t="n">
        <v>63.3</v>
      </c>
      <c r="L71" s="12" t="n">
        <v>15.47</v>
      </c>
      <c r="M71" s="13" t="n">
        <v>13.84</v>
      </c>
      <c r="N71" s="14" t="n">
        <f aca="false">J71/(F71*G71)</f>
        <v>6.47670888806706</v>
      </c>
      <c r="O71" s="10" t="n">
        <f aca="false">J71/(F71*G71)</f>
        <v>6.47670888806706</v>
      </c>
      <c r="P71" s="10" t="n">
        <f aca="false">M71/(F71*G71*H71)</f>
        <v>0.000728600565085415</v>
      </c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customFormat="false" ht="15.75" hidden="false" customHeight="true" outlineLevel="0" collapsed="false">
      <c r="A72" s="10"/>
      <c r="B72" s="10"/>
      <c r="C72" s="10" t="s">
        <v>70</v>
      </c>
      <c r="D72" s="10" t="n">
        <v>3</v>
      </c>
      <c r="E72" s="11" t="n">
        <v>46191</v>
      </c>
      <c r="F72" s="10" t="n">
        <v>24.95</v>
      </c>
      <c r="G72" s="10" t="n">
        <v>24.68</v>
      </c>
      <c r="H72" s="10" t="n">
        <v>30.5</v>
      </c>
      <c r="I72" s="10" t="n">
        <v>15.48</v>
      </c>
      <c r="J72" s="10" t="n">
        <v>4383</v>
      </c>
      <c r="K72" s="12" t="n">
        <v>69.6</v>
      </c>
      <c r="L72" s="12" t="n">
        <v>15.46</v>
      </c>
      <c r="M72" s="13" t="n">
        <v>13.9</v>
      </c>
      <c r="N72" s="14" t="n">
        <f aca="false">J72/(F72*G72)</f>
        <v>7.11796364203285</v>
      </c>
      <c r="O72" s="10" t="n">
        <f aca="false">J72/(F72*G72)</f>
        <v>7.11796364203285</v>
      </c>
      <c r="P72" s="10" t="n">
        <f aca="false">M72/(F72*G72*H72)</f>
        <v>0.00074011508416839</v>
      </c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customFormat="false" ht="15.75" hidden="false" customHeight="true" outlineLevel="0" collapsed="false">
      <c r="A73" s="10"/>
      <c r="B73" s="10"/>
      <c r="C73" s="10" t="s">
        <v>70</v>
      </c>
      <c r="D73" s="10" t="n">
        <v>4</v>
      </c>
      <c r="E73" s="11" t="n">
        <v>46199</v>
      </c>
      <c r="F73" s="10" t="n">
        <v>25.57</v>
      </c>
      <c r="G73" s="10" t="n">
        <v>24.6</v>
      </c>
      <c r="H73" s="10" t="n">
        <v>30.27</v>
      </c>
      <c r="I73" s="10" t="n">
        <v>16.11</v>
      </c>
      <c r="J73" s="10" t="n">
        <v>5004</v>
      </c>
      <c r="K73" s="12" t="n">
        <v>77.9</v>
      </c>
      <c r="L73" s="12" t="n">
        <v>16.11</v>
      </c>
      <c r="M73" s="13" t="n">
        <v>14.45</v>
      </c>
      <c r="N73" s="14" t="n">
        <f aca="false">J73/(F73*G73)</f>
        <v>7.95520665413928</v>
      </c>
      <c r="O73" s="10" t="n">
        <f aca="false">J73/(F73*G73)</f>
        <v>7.95520665413928</v>
      </c>
      <c r="P73" s="10" t="n">
        <f aca="false">M73/(F73*G73*H73)</f>
        <v>0.000758908803926879</v>
      </c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customFormat="false" ht="15.75" hidden="false" customHeight="true" outlineLevel="0" collapsed="false">
      <c r="A74" s="10" t="s">
        <v>71</v>
      </c>
      <c r="B74" s="10" t="s">
        <v>72</v>
      </c>
      <c r="C74" s="10" t="s">
        <v>73</v>
      </c>
      <c r="D74" s="10" t="n">
        <v>1</v>
      </c>
      <c r="E74" s="11" t="n">
        <v>46189</v>
      </c>
      <c r="F74" s="12" t="n">
        <v>25.14</v>
      </c>
      <c r="G74" s="12" t="n">
        <v>24.74</v>
      </c>
      <c r="H74" s="12" t="n">
        <v>30.35</v>
      </c>
      <c r="I74" s="12" t="n">
        <v>19.45</v>
      </c>
      <c r="J74" s="10" t="n">
        <v>4497</v>
      </c>
      <c r="K74" s="12" t="n">
        <v>71.1</v>
      </c>
      <c r="L74" s="12" t="n">
        <v>19.44</v>
      </c>
      <c r="M74" s="13" t="n">
        <v>17.17</v>
      </c>
      <c r="N74" s="14" t="n">
        <f aca="false">J74/(F74*G74)</f>
        <v>7.23032666220338</v>
      </c>
      <c r="O74" s="10" t="n">
        <f aca="false">J74/(F74*G74)</f>
        <v>7.23032666220338</v>
      </c>
      <c r="P74" s="10" t="n">
        <f aca="false">M74/(F74*G74*H74)</f>
        <v>0.000909591998106972</v>
      </c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customFormat="false" ht="15.75" hidden="false" customHeight="true" outlineLevel="0" collapsed="false">
      <c r="A75" s="10"/>
      <c r="B75" s="10"/>
      <c r="C75" s="10" t="s">
        <v>73</v>
      </c>
      <c r="D75" s="10" t="n">
        <v>2</v>
      </c>
      <c r="E75" s="11" t="n">
        <v>46189</v>
      </c>
      <c r="F75" s="12" t="n">
        <v>26.45</v>
      </c>
      <c r="G75" s="12" t="n">
        <v>24.79</v>
      </c>
      <c r="H75" s="12" t="n">
        <v>30.69</v>
      </c>
      <c r="I75" s="12" t="n">
        <v>19.9</v>
      </c>
      <c r="J75" s="10" t="n">
        <v>4328</v>
      </c>
      <c r="K75" s="12" t="n">
        <v>64.6</v>
      </c>
      <c r="L75" s="12" t="n">
        <v>19.88</v>
      </c>
      <c r="M75" s="13" t="n">
        <v>17.54</v>
      </c>
      <c r="N75" s="14" t="n">
        <f aca="false">J75/(F75*G75)</f>
        <v>6.6006248327158</v>
      </c>
      <c r="O75" s="10" t="n">
        <f aca="false">J75/(F75*G75)</f>
        <v>6.6006248327158</v>
      </c>
      <c r="P75" s="10" t="n">
        <f aca="false">M75/(F75*G75*H75)</f>
        <v>0.000871626644221078</v>
      </c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customFormat="false" ht="15.75" hidden="false" customHeight="true" outlineLevel="0" collapsed="false">
      <c r="A76" s="10"/>
      <c r="B76" s="10"/>
      <c r="C76" s="10" t="s">
        <v>73</v>
      </c>
      <c r="D76" s="10" t="n">
        <v>3</v>
      </c>
      <c r="E76" s="11" t="n">
        <v>46191</v>
      </c>
      <c r="F76" s="12" t="n">
        <v>25.69</v>
      </c>
      <c r="G76" s="12" t="n">
        <v>25.23</v>
      </c>
      <c r="H76" s="12" t="n">
        <v>30.52</v>
      </c>
      <c r="I76" s="12" t="n">
        <v>20.08</v>
      </c>
      <c r="J76" s="10" t="n">
        <v>4801</v>
      </c>
      <c r="K76" s="12" t="n">
        <v>72.7</v>
      </c>
      <c r="L76" s="12" t="n">
        <v>20.15</v>
      </c>
      <c r="M76" s="13" t="n">
        <v>17.75</v>
      </c>
      <c r="N76" s="14" t="n">
        <f aca="false">J76/(F76*G76)</f>
        <v>7.40713655467403</v>
      </c>
      <c r="O76" s="10" t="n">
        <f aca="false">J76/(F76*G76)</f>
        <v>7.40713655467403</v>
      </c>
      <c r="P76" s="10" t="n">
        <f aca="false">M76/(F76*G76*H76)</f>
        <v>0.000897289267809432</v>
      </c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customFormat="false" ht="15.75" hidden="false" customHeight="true" outlineLevel="0" collapsed="false">
      <c r="A77" s="10"/>
      <c r="B77" s="10"/>
      <c r="C77" s="10" t="s">
        <v>73</v>
      </c>
      <c r="D77" s="10" t="n">
        <v>4</v>
      </c>
      <c r="E77" s="11" t="n">
        <v>46198</v>
      </c>
      <c r="F77" s="12" t="n">
        <v>24.93</v>
      </c>
      <c r="G77" s="12" t="n">
        <v>27.1</v>
      </c>
      <c r="H77" s="12" t="n">
        <v>30.34</v>
      </c>
      <c r="I77" s="12" t="n">
        <v>22.23</v>
      </c>
      <c r="J77" s="20" t="n">
        <v>4804</v>
      </c>
      <c r="K77" s="12" t="n">
        <v>69.8</v>
      </c>
      <c r="L77" s="12" t="n">
        <v>22.22</v>
      </c>
      <c r="M77" s="13" t="n">
        <v>19.64</v>
      </c>
      <c r="N77" s="14" t="n">
        <f aca="false">J77/(F77*G77)</f>
        <v>7.1106848252598</v>
      </c>
      <c r="O77" s="10" t="n">
        <f aca="false">J77/(F77*G77)</f>
        <v>7.1106848252598</v>
      </c>
      <c r="P77" s="10" t="n">
        <f aca="false">M77/(F77*G77*H77)</f>
        <v>0.00095815183929964</v>
      </c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customFormat="false" ht="15.75" hidden="false" customHeight="true" outlineLevel="0" collapsed="false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2"/>
      <c r="L78" s="12"/>
      <c r="M78" s="10"/>
      <c r="N78" s="14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customFormat="false" ht="15.75" hidden="false" customHeight="true" outlineLevel="0" collapsed="false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2"/>
      <c r="L79" s="12"/>
      <c r="M79" s="10"/>
      <c r="N79" s="14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customFormat="false" ht="15.75" hidden="false" customHeight="true" outlineLevel="0" collapsed="false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2"/>
      <c r="L80" s="12"/>
      <c r="M80" s="10"/>
      <c r="N80" s="14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customFormat="false" ht="15.75" hidden="false" customHeight="true" outlineLevel="0" collapsed="false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2"/>
      <c r="L81" s="12"/>
      <c r="M81" s="10"/>
      <c r="N81" s="14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customFormat="false" ht="15.75" hidden="false" customHeight="true" outlineLevel="0" collapsed="false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2"/>
      <c r="L82" s="12"/>
      <c r="M82" s="10"/>
      <c r="N82" s="14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customFormat="false" ht="15.75" hidden="false" customHeight="true" outlineLevel="0" collapsed="false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2"/>
      <c r="L83" s="12"/>
      <c r="M83" s="10"/>
      <c r="N83" s="14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customFormat="false" ht="15.75" hidden="false" customHeight="true" outlineLevel="0" collapsed="false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2"/>
      <c r="L84" s="12"/>
      <c r="M84" s="10"/>
      <c r="N84" s="14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customFormat="false" ht="15.75" hidden="false" customHeight="true" outlineLevel="0" collapsed="false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2"/>
      <c r="L85" s="12"/>
      <c r="M85" s="10"/>
      <c r="N85" s="14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customFormat="false" ht="15.75" hidden="false" customHeight="true" outlineLevel="0" collapsed="false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2"/>
      <c r="L86" s="12"/>
      <c r="M86" s="10"/>
      <c r="N86" s="14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customFormat="false" ht="15.75" hidden="false" customHeight="true" outlineLevel="0" collapsed="false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2"/>
      <c r="L87" s="12"/>
      <c r="M87" s="10"/>
      <c r="N87" s="14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customFormat="false" ht="15.75" hidden="false" customHeight="true" outlineLevel="0" collapsed="false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2"/>
      <c r="L88" s="12"/>
      <c r="M88" s="10"/>
      <c r="N88" s="14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customFormat="false" ht="15.75" hidden="false" customHeight="true" outlineLevel="0" collapsed="false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2"/>
      <c r="L89" s="12"/>
      <c r="M89" s="10"/>
      <c r="N89" s="14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customFormat="false" ht="15.75" hidden="false" customHeight="true" outlineLevel="0" collapsed="false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2"/>
      <c r="L90" s="12"/>
      <c r="M90" s="10"/>
      <c r="N90" s="14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customFormat="false" ht="15.75" hidden="false" customHeight="true" outlineLevel="0" collapsed="false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2"/>
      <c r="L91" s="12"/>
      <c r="M91" s="10"/>
      <c r="N91" s="14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customFormat="false" ht="15.75" hidden="false" customHeight="true" outlineLevel="0" collapsed="false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2"/>
      <c r="L92" s="12"/>
      <c r="M92" s="10"/>
      <c r="N92" s="14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customFormat="false" ht="15.75" hidden="false" customHeight="true" outlineLevel="0" collapsed="false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2"/>
      <c r="L93" s="12"/>
      <c r="M93" s="10"/>
      <c r="N93" s="14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customFormat="false" ht="15.75" hidden="false" customHeight="true" outlineLevel="0" collapsed="false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2"/>
      <c r="L94" s="12"/>
      <c r="M94" s="10"/>
      <c r="N94" s="14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customFormat="false" ht="15.75" hidden="false" customHeight="true" outlineLevel="0" collapsed="false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2"/>
      <c r="L95" s="12"/>
      <c r="M95" s="10"/>
      <c r="N95" s="14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customFormat="false" ht="15.75" hidden="false" customHeight="true" outlineLevel="0" collapsed="false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2"/>
      <c r="L96" s="12"/>
      <c r="M96" s="10"/>
      <c r="N96" s="14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customFormat="false" ht="15.75" hidden="false" customHeight="true" outlineLevel="0" collapsed="false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2"/>
      <c r="L97" s="12"/>
      <c r="M97" s="10"/>
      <c r="N97" s="14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customFormat="false" ht="15.75" hidden="false" customHeight="true" outlineLevel="0" collapsed="false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2"/>
      <c r="L98" s="12"/>
      <c r="M98" s="10"/>
      <c r="N98" s="14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customFormat="false" ht="15.75" hidden="false" customHeight="true" outlineLevel="0" collapsed="false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2"/>
      <c r="L99" s="12"/>
      <c r="M99" s="10"/>
      <c r="N99" s="14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customFormat="false" ht="15.75" hidden="false" customHeight="true" outlineLevel="0" collapsed="false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2"/>
      <c r="L100" s="12"/>
      <c r="M100" s="10"/>
      <c r="N100" s="14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customFormat="false" ht="15.75" hidden="false" customHeight="true" outlineLevel="0" collapsed="false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2"/>
      <c r="L101" s="12"/>
      <c r="M101" s="10"/>
      <c r="N101" s="14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customFormat="false" ht="15.75" hidden="false" customHeight="true" outlineLevel="0" collapsed="false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2"/>
      <c r="L102" s="12"/>
      <c r="M102" s="10"/>
      <c r="N102" s="14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customFormat="false" ht="15.75" hidden="false" customHeight="true" outlineLevel="0" collapsed="false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2"/>
      <c r="L103" s="12"/>
      <c r="M103" s="10"/>
      <c r="N103" s="14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customFormat="false" ht="15.75" hidden="false" customHeight="true" outlineLevel="0" collapsed="false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2"/>
      <c r="L104" s="12"/>
      <c r="M104" s="10"/>
      <c r="N104" s="14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customFormat="false" ht="15.75" hidden="false" customHeight="true" outlineLevel="0" collapsed="false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2"/>
      <c r="L105" s="12"/>
      <c r="M105" s="10"/>
      <c r="N105" s="14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customFormat="false" ht="15.75" hidden="false" customHeight="true" outlineLevel="0" collapsed="false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2"/>
      <c r="L106" s="12"/>
      <c r="M106" s="10"/>
      <c r="N106" s="14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customFormat="false" ht="15.75" hidden="false" customHeight="true" outlineLevel="0" collapsed="false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2"/>
      <c r="L107" s="12"/>
      <c r="M107" s="10"/>
      <c r="N107" s="14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customFormat="false" ht="15.75" hidden="false" customHeight="true" outlineLevel="0" collapsed="false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2"/>
      <c r="L108" s="12"/>
      <c r="M108" s="10"/>
      <c r="N108" s="14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customFormat="false" ht="15.75" hidden="false" customHeight="true" outlineLevel="0" collapsed="false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2"/>
      <c r="L109" s="12"/>
      <c r="M109" s="10"/>
      <c r="N109" s="14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customFormat="false" ht="15.75" hidden="false" customHeight="true" outlineLevel="0" collapsed="false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2"/>
      <c r="L110" s="12"/>
      <c r="M110" s="10"/>
      <c r="N110" s="14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customFormat="false" ht="15.75" hidden="false" customHeight="true" outlineLevel="0" collapsed="false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2"/>
      <c r="L111" s="12"/>
      <c r="M111" s="10"/>
      <c r="N111" s="14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customFormat="false" ht="15.75" hidden="false" customHeight="true" outlineLevel="0" collapsed="false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2"/>
      <c r="L112" s="12"/>
      <c r="M112" s="10"/>
      <c r="N112" s="14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customFormat="false" ht="15.75" hidden="false" customHeight="true" outlineLevel="0" collapsed="false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2"/>
      <c r="L113" s="12"/>
      <c r="M113" s="10"/>
      <c r="N113" s="14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customFormat="false" ht="15.75" hidden="false" customHeight="true" outlineLevel="0" collapsed="false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2"/>
      <c r="L114" s="12"/>
      <c r="M114" s="10"/>
      <c r="N114" s="14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customFormat="false" ht="15.75" hidden="false" customHeight="true" outlineLevel="0" collapsed="false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2"/>
      <c r="L115" s="12"/>
      <c r="M115" s="10"/>
      <c r="N115" s="14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customFormat="false" ht="15.75" hidden="false" customHeight="true" outlineLevel="0" collapsed="false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2"/>
      <c r="L116" s="12"/>
      <c r="M116" s="10"/>
      <c r="N116" s="14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customFormat="false" ht="15.75" hidden="false" customHeight="true" outlineLevel="0" collapsed="false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2"/>
      <c r="L117" s="12"/>
      <c r="M117" s="10"/>
      <c r="N117" s="14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customFormat="false" ht="15.75" hidden="false" customHeight="true" outlineLevel="0" collapsed="false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2"/>
      <c r="L118" s="12"/>
      <c r="M118" s="10"/>
      <c r="N118" s="14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customFormat="false" ht="15.75" hidden="false" customHeight="true" outlineLevel="0" collapsed="false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2"/>
      <c r="L119" s="12"/>
      <c r="M119" s="10"/>
      <c r="N119" s="14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customFormat="false" ht="15.75" hidden="false" customHeight="true" outlineLevel="0" collapsed="false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2"/>
      <c r="L120" s="12"/>
      <c r="M120" s="10"/>
      <c r="N120" s="14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customFormat="false" ht="15.75" hidden="false" customHeight="true" outlineLevel="0" collapsed="false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2"/>
      <c r="L121" s="12"/>
      <c r="M121" s="10"/>
      <c r="N121" s="14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customFormat="false" ht="15.75" hidden="false" customHeight="true" outlineLevel="0" collapsed="false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2"/>
      <c r="L122" s="12"/>
      <c r="M122" s="10"/>
      <c r="N122" s="14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customFormat="false" ht="15.75" hidden="false" customHeight="true" outlineLevel="0" collapsed="false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2"/>
      <c r="L123" s="12"/>
      <c r="M123" s="10"/>
      <c r="N123" s="14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customFormat="false" ht="15.75" hidden="false" customHeight="true" outlineLevel="0" collapsed="false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2"/>
      <c r="L124" s="12"/>
      <c r="M124" s="10"/>
      <c r="N124" s="14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customFormat="false" ht="15.75" hidden="false" customHeight="true" outlineLevel="0" collapsed="false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2"/>
      <c r="L125" s="12"/>
      <c r="M125" s="10"/>
      <c r="N125" s="14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customFormat="false" ht="15.75" hidden="false" customHeight="true" outlineLevel="0" collapsed="false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2"/>
      <c r="L126" s="12"/>
      <c r="M126" s="10"/>
      <c r="N126" s="14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customFormat="false" ht="15.75" hidden="false" customHeight="true" outlineLevel="0" collapsed="false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2"/>
      <c r="L127" s="12"/>
      <c r="M127" s="10"/>
      <c r="N127" s="14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customFormat="false" ht="15.75" hidden="false" customHeight="true" outlineLevel="0" collapsed="false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2"/>
      <c r="L128" s="12"/>
      <c r="M128" s="10"/>
      <c r="N128" s="14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customFormat="false" ht="15.75" hidden="false" customHeight="true" outlineLevel="0" collapsed="false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2"/>
      <c r="L129" s="12"/>
      <c r="M129" s="10"/>
      <c r="N129" s="14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customFormat="false" ht="15.75" hidden="false" customHeight="true" outlineLevel="0" collapsed="false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2"/>
      <c r="L130" s="12"/>
      <c r="M130" s="10"/>
      <c r="N130" s="14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customFormat="false" ht="15.75" hidden="false" customHeight="true" outlineLevel="0" collapsed="false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2"/>
      <c r="L131" s="12"/>
      <c r="M131" s="10"/>
      <c r="N131" s="14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customFormat="false" ht="15.75" hidden="false" customHeight="true" outlineLevel="0" collapsed="false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2"/>
      <c r="L132" s="12"/>
      <c r="M132" s="10"/>
      <c r="N132" s="14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customFormat="false" ht="15.75" hidden="false" customHeight="true" outlineLevel="0" collapsed="false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2"/>
      <c r="L133" s="12"/>
      <c r="M133" s="10"/>
      <c r="N133" s="14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customFormat="false" ht="15.75" hidden="false" customHeight="true" outlineLevel="0" collapsed="false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2"/>
      <c r="L134" s="12"/>
      <c r="M134" s="10"/>
      <c r="N134" s="14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customFormat="false" ht="15.75" hidden="false" customHeight="true" outlineLevel="0" collapsed="false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2"/>
      <c r="L135" s="12"/>
      <c r="M135" s="10"/>
      <c r="N135" s="14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customFormat="false" ht="15.75" hidden="false" customHeight="true" outlineLevel="0" collapsed="false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2"/>
      <c r="L136" s="12"/>
      <c r="M136" s="10"/>
      <c r="N136" s="14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customFormat="false" ht="15.75" hidden="false" customHeight="true" outlineLevel="0" collapsed="false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2"/>
      <c r="L137" s="12"/>
      <c r="M137" s="10"/>
      <c r="N137" s="14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customFormat="false" ht="15.75" hidden="false" customHeight="true" outlineLevel="0" collapsed="false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2"/>
      <c r="L138" s="12"/>
      <c r="M138" s="10"/>
      <c r="N138" s="14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customFormat="false" ht="15.75" hidden="false" customHeight="true" outlineLevel="0" collapsed="false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2"/>
      <c r="L139" s="12"/>
      <c r="M139" s="10"/>
      <c r="N139" s="14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customFormat="false" ht="15.75" hidden="false" customHeight="true" outlineLevel="0" collapsed="false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2"/>
      <c r="L140" s="12"/>
      <c r="M140" s="10"/>
      <c r="N140" s="14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customFormat="false" ht="15.75" hidden="false" customHeight="true" outlineLevel="0" collapsed="false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2"/>
      <c r="L141" s="12"/>
      <c r="M141" s="10"/>
      <c r="N141" s="14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customFormat="false" ht="15.75" hidden="false" customHeight="true" outlineLevel="0" collapsed="false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2"/>
      <c r="L142" s="12"/>
      <c r="M142" s="10"/>
      <c r="N142" s="14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customFormat="false" ht="15.75" hidden="false" customHeight="true" outlineLevel="0" collapsed="false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2"/>
      <c r="L143" s="12"/>
      <c r="M143" s="10"/>
      <c r="N143" s="14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customFormat="false" ht="15.75" hidden="false" customHeight="true" outlineLevel="0" collapsed="false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2"/>
      <c r="L144" s="12"/>
      <c r="M144" s="10"/>
      <c r="N144" s="14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customFormat="false" ht="15.75" hidden="false" customHeight="true" outlineLevel="0" collapsed="false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2"/>
      <c r="L145" s="12"/>
      <c r="M145" s="10"/>
      <c r="N145" s="14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customFormat="false" ht="15.75" hidden="false" customHeight="true" outlineLevel="0" collapsed="false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2"/>
      <c r="L146" s="12"/>
      <c r="M146" s="10"/>
      <c r="N146" s="14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customFormat="false" ht="15.75" hidden="false" customHeight="true" outlineLevel="0" collapsed="false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2"/>
      <c r="L147" s="12"/>
      <c r="M147" s="10"/>
      <c r="N147" s="14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customFormat="false" ht="15.75" hidden="false" customHeight="true" outlineLevel="0" collapsed="false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2"/>
      <c r="L148" s="12"/>
      <c r="M148" s="10"/>
      <c r="N148" s="14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customFormat="false" ht="15.75" hidden="false" customHeight="true" outlineLevel="0" collapsed="false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2"/>
      <c r="L149" s="12"/>
      <c r="M149" s="10"/>
      <c r="N149" s="14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customFormat="false" ht="15.75" hidden="false" customHeight="true" outlineLevel="0" collapsed="false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2"/>
      <c r="L150" s="12"/>
      <c r="M150" s="10"/>
      <c r="N150" s="14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customFormat="false" ht="15.75" hidden="false" customHeight="true" outlineLevel="0" collapsed="false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2"/>
      <c r="L151" s="12"/>
      <c r="M151" s="10"/>
      <c r="N151" s="14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customFormat="false" ht="15.75" hidden="false" customHeight="true" outlineLevel="0" collapsed="false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2"/>
      <c r="L152" s="12"/>
      <c r="M152" s="10"/>
      <c r="N152" s="14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customFormat="false" ht="15.75" hidden="false" customHeight="true" outlineLevel="0" collapsed="false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2"/>
      <c r="L153" s="12"/>
      <c r="M153" s="10"/>
      <c r="N153" s="14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customFormat="false" ht="15.75" hidden="false" customHeight="true" outlineLevel="0" collapsed="false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2"/>
      <c r="L154" s="12"/>
      <c r="M154" s="10"/>
      <c r="N154" s="14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customFormat="false" ht="15.75" hidden="false" customHeight="true" outlineLevel="0" collapsed="false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2"/>
      <c r="L155" s="12"/>
      <c r="M155" s="10"/>
      <c r="N155" s="14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customFormat="false" ht="15.75" hidden="false" customHeight="true" outlineLevel="0" collapsed="false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2"/>
      <c r="L156" s="12"/>
      <c r="M156" s="10"/>
      <c r="N156" s="14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customFormat="false" ht="15.75" hidden="false" customHeight="true" outlineLevel="0" collapsed="false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2"/>
      <c r="L157" s="12"/>
      <c r="M157" s="10"/>
      <c r="N157" s="14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customFormat="false" ht="15.75" hidden="false" customHeight="true" outlineLevel="0" collapsed="false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2"/>
      <c r="L158" s="12"/>
      <c r="M158" s="10"/>
      <c r="N158" s="14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customFormat="false" ht="15.75" hidden="false" customHeight="true" outlineLevel="0" collapsed="false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2"/>
      <c r="L159" s="12"/>
      <c r="M159" s="10"/>
      <c r="N159" s="14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customFormat="false" ht="15.75" hidden="false" customHeight="true" outlineLevel="0" collapsed="false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2"/>
      <c r="L160" s="12"/>
      <c r="M160" s="10"/>
      <c r="N160" s="14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customFormat="false" ht="15.75" hidden="false" customHeight="true" outlineLevel="0" collapsed="false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2"/>
      <c r="L161" s="12"/>
      <c r="M161" s="10"/>
      <c r="N161" s="14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customFormat="false" ht="15.75" hidden="false" customHeight="true" outlineLevel="0" collapsed="false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2"/>
      <c r="L162" s="12"/>
      <c r="M162" s="10"/>
      <c r="N162" s="14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customFormat="false" ht="15.75" hidden="false" customHeight="true" outlineLevel="0" collapsed="false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2"/>
      <c r="L163" s="12"/>
      <c r="M163" s="10"/>
      <c r="N163" s="14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customFormat="false" ht="15.75" hidden="false" customHeight="true" outlineLevel="0" collapsed="false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2"/>
      <c r="L164" s="12"/>
      <c r="M164" s="10"/>
      <c r="N164" s="14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customFormat="false" ht="15.75" hidden="false" customHeight="true" outlineLevel="0" collapsed="false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2"/>
      <c r="L165" s="12"/>
      <c r="M165" s="10"/>
      <c r="N165" s="14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customFormat="false" ht="15.75" hidden="false" customHeight="true" outlineLevel="0" collapsed="false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2"/>
      <c r="L166" s="12"/>
      <c r="M166" s="10"/>
      <c r="N166" s="14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customFormat="false" ht="15.75" hidden="false" customHeight="true" outlineLevel="0" collapsed="false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2"/>
      <c r="L167" s="12"/>
      <c r="M167" s="10"/>
      <c r="N167" s="14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customFormat="false" ht="15.75" hidden="false" customHeight="true" outlineLevel="0" collapsed="false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2"/>
      <c r="L168" s="12"/>
      <c r="M168" s="10"/>
      <c r="N168" s="14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customFormat="false" ht="15.75" hidden="false" customHeight="true" outlineLevel="0" collapsed="false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2"/>
      <c r="L169" s="12"/>
      <c r="M169" s="10"/>
      <c r="N169" s="14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customFormat="false" ht="15.75" hidden="false" customHeight="true" outlineLevel="0" collapsed="false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2"/>
      <c r="L170" s="12"/>
      <c r="M170" s="10"/>
      <c r="N170" s="14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customFormat="false" ht="15.75" hidden="false" customHeight="true" outlineLevel="0" collapsed="false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2"/>
      <c r="L171" s="12"/>
      <c r="M171" s="10"/>
      <c r="N171" s="14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customFormat="false" ht="15.75" hidden="false" customHeight="true" outlineLevel="0" collapsed="false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2"/>
      <c r="L172" s="12"/>
      <c r="M172" s="10"/>
      <c r="N172" s="14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customFormat="false" ht="15.75" hidden="false" customHeight="true" outlineLevel="0" collapsed="false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2"/>
      <c r="L173" s="12"/>
      <c r="M173" s="10"/>
      <c r="N173" s="14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customFormat="false" ht="15.75" hidden="false" customHeight="true" outlineLevel="0" collapsed="false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2"/>
      <c r="L174" s="12"/>
      <c r="M174" s="10"/>
      <c r="N174" s="14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customFormat="false" ht="15.75" hidden="false" customHeight="true" outlineLevel="0" collapsed="false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2"/>
      <c r="L175" s="12"/>
      <c r="M175" s="10"/>
      <c r="N175" s="14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customFormat="false" ht="15.75" hidden="false" customHeight="true" outlineLevel="0" collapsed="false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2"/>
      <c r="L176" s="12"/>
      <c r="M176" s="10"/>
      <c r="N176" s="14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customFormat="false" ht="15.75" hidden="false" customHeight="true" outlineLevel="0" collapsed="false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2"/>
      <c r="L177" s="12"/>
      <c r="M177" s="10"/>
      <c r="N177" s="14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customFormat="false" ht="15.75" hidden="false" customHeight="true" outlineLevel="0" collapsed="false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2"/>
      <c r="L178" s="12"/>
      <c r="M178" s="10"/>
      <c r="N178" s="14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customFormat="false" ht="15.75" hidden="false" customHeight="true" outlineLevel="0" collapsed="false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2"/>
      <c r="L179" s="12"/>
      <c r="M179" s="10"/>
      <c r="N179" s="14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customFormat="false" ht="15.75" hidden="false" customHeight="true" outlineLevel="0" collapsed="false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2"/>
      <c r="L180" s="12"/>
      <c r="M180" s="10"/>
      <c r="N180" s="14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customFormat="false" ht="15.75" hidden="false" customHeight="true" outlineLevel="0" collapsed="false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2"/>
      <c r="L181" s="12"/>
      <c r="M181" s="10"/>
      <c r="N181" s="14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customFormat="false" ht="15.75" hidden="false" customHeight="true" outlineLevel="0" collapsed="false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2"/>
      <c r="L182" s="12"/>
      <c r="M182" s="10"/>
      <c r="N182" s="14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customFormat="false" ht="15.75" hidden="false" customHeight="true" outlineLevel="0" collapsed="false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2"/>
      <c r="L183" s="12"/>
      <c r="M183" s="10"/>
      <c r="N183" s="14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customFormat="false" ht="15.75" hidden="false" customHeight="true" outlineLevel="0" collapsed="false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2"/>
      <c r="L184" s="12"/>
      <c r="M184" s="10"/>
      <c r="N184" s="14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customFormat="false" ht="15.75" hidden="false" customHeight="true" outlineLevel="0" collapsed="false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2"/>
      <c r="L185" s="12"/>
      <c r="M185" s="10"/>
      <c r="N185" s="14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customFormat="false" ht="15.75" hidden="false" customHeight="true" outlineLevel="0" collapsed="false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2"/>
      <c r="L186" s="12"/>
      <c r="M186" s="10"/>
      <c r="N186" s="14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customFormat="false" ht="15.75" hidden="false" customHeight="true" outlineLevel="0" collapsed="false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2"/>
      <c r="L187" s="12"/>
      <c r="M187" s="10"/>
      <c r="N187" s="14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customFormat="false" ht="15.75" hidden="false" customHeight="true" outlineLevel="0" collapsed="false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2"/>
      <c r="L188" s="12"/>
      <c r="M188" s="10"/>
      <c r="N188" s="14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customFormat="false" ht="15.75" hidden="false" customHeight="true" outlineLevel="0" collapsed="false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2"/>
      <c r="L189" s="12"/>
      <c r="M189" s="10"/>
      <c r="N189" s="14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customFormat="false" ht="15.75" hidden="false" customHeight="true" outlineLevel="0" collapsed="false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2"/>
      <c r="L190" s="12"/>
      <c r="M190" s="10"/>
      <c r="N190" s="14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customFormat="false" ht="15.75" hidden="false" customHeight="true" outlineLevel="0" collapsed="false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2"/>
      <c r="L191" s="12"/>
      <c r="M191" s="10"/>
      <c r="N191" s="14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customFormat="false" ht="15.75" hidden="false" customHeight="true" outlineLevel="0" collapsed="false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2"/>
      <c r="L192" s="12"/>
      <c r="M192" s="10"/>
      <c r="N192" s="14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customFormat="false" ht="15.75" hidden="false" customHeight="true" outlineLevel="0" collapsed="false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2"/>
      <c r="L193" s="12"/>
      <c r="M193" s="10"/>
      <c r="N193" s="14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customFormat="false" ht="15.75" hidden="false" customHeight="true" outlineLevel="0" collapsed="false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2"/>
      <c r="L194" s="12"/>
      <c r="M194" s="10"/>
      <c r="N194" s="14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customFormat="false" ht="15.75" hidden="false" customHeight="true" outlineLevel="0" collapsed="false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2"/>
      <c r="L195" s="12"/>
      <c r="M195" s="10"/>
      <c r="N195" s="14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customFormat="false" ht="15.75" hidden="false" customHeight="true" outlineLevel="0" collapsed="false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2"/>
      <c r="L196" s="12"/>
      <c r="M196" s="10"/>
      <c r="N196" s="14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customFormat="false" ht="15.75" hidden="false" customHeight="true" outlineLevel="0" collapsed="false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2"/>
      <c r="L197" s="12"/>
      <c r="M197" s="10"/>
      <c r="N197" s="14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customFormat="false" ht="15.75" hidden="false" customHeight="true" outlineLevel="0" collapsed="false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2"/>
      <c r="L198" s="12"/>
      <c r="M198" s="10"/>
      <c r="N198" s="14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customFormat="false" ht="15.75" hidden="false" customHeight="true" outlineLevel="0" collapsed="false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2"/>
      <c r="L199" s="12"/>
      <c r="M199" s="10"/>
      <c r="N199" s="14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customFormat="false" ht="15.75" hidden="false" customHeight="true" outlineLevel="0" collapsed="false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2"/>
      <c r="L200" s="12"/>
      <c r="M200" s="10"/>
      <c r="N200" s="14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customFormat="false" ht="15.75" hidden="false" customHeight="true" outlineLevel="0" collapsed="false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2"/>
      <c r="L201" s="12"/>
      <c r="M201" s="10"/>
      <c r="N201" s="14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customFormat="false" ht="15.75" hidden="false" customHeight="true" outlineLevel="0" collapsed="false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2"/>
      <c r="L202" s="12"/>
      <c r="M202" s="10"/>
      <c r="N202" s="14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customFormat="false" ht="15.75" hidden="false" customHeight="true" outlineLevel="0" collapsed="false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2"/>
      <c r="L203" s="12"/>
      <c r="M203" s="10"/>
      <c r="N203" s="14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customFormat="false" ht="15.75" hidden="false" customHeight="true" outlineLevel="0" collapsed="false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2"/>
      <c r="L204" s="12"/>
      <c r="M204" s="10"/>
      <c r="N204" s="14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customFormat="false" ht="15.75" hidden="false" customHeight="true" outlineLevel="0" collapsed="false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2"/>
      <c r="L205" s="12"/>
      <c r="M205" s="10"/>
      <c r="N205" s="14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customFormat="false" ht="15.75" hidden="false" customHeight="true" outlineLevel="0" collapsed="false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2"/>
      <c r="L206" s="12"/>
      <c r="M206" s="10"/>
      <c r="N206" s="14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customFormat="false" ht="15.75" hidden="false" customHeight="true" outlineLevel="0" collapsed="false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2"/>
      <c r="L207" s="12"/>
      <c r="M207" s="10"/>
      <c r="N207" s="14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customFormat="false" ht="15.75" hidden="false" customHeight="true" outlineLevel="0" collapsed="false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2"/>
      <c r="L208" s="12"/>
      <c r="M208" s="10"/>
      <c r="N208" s="14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customFormat="false" ht="15.75" hidden="false" customHeight="true" outlineLevel="0" collapsed="false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2"/>
      <c r="L209" s="12"/>
      <c r="M209" s="10"/>
      <c r="N209" s="14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customFormat="false" ht="15.75" hidden="false" customHeight="true" outlineLevel="0" collapsed="false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2"/>
      <c r="L210" s="12"/>
      <c r="M210" s="10"/>
      <c r="N210" s="14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customFormat="false" ht="15.75" hidden="false" customHeight="true" outlineLevel="0" collapsed="false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2"/>
      <c r="L211" s="12"/>
      <c r="M211" s="10"/>
      <c r="N211" s="14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customFormat="false" ht="15.75" hidden="false" customHeight="true" outlineLevel="0" collapsed="false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2"/>
      <c r="L212" s="12"/>
      <c r="M212" s="10"/>
      <c r="N212" s="14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customFormat="false" ht="15.75" hidden="false" customHeight="true" outlineLevel="0" collapsed="false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2"/>
      <c r="L213" s="12"/>
      <c r="M213" s="10"/>
      <c r="N213" s="14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customFormat="false" ht="15.75" hidden="false" customHeight="true" outlineLevel="0" collapsed="false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2"/>
      <c r="L214" s="12"/>
      <c r="M214" s="10"/>
      <c r="N214" s="14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customFormat="false" ht="15.75" hidden="false" customHeight="true" outlineLevel="0" collapsed="false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2"/>
      <c r="L215" s="12"/>
      <c r="M215" s="10"/>
      <c r="N215" s="14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customFormat="false" ht="15.75" hidden="false" customHeight="true" outlineLevel="0" collapsed="false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2"/>
      <c r="L216" s="12"/>
      <c r="M216" s="10"/>
      <c r="N216" s="14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customFormat="false" ht="15.75" hidden="false" customHeight="true" outlineLevel="0" collapsed="false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2"/>
      <c r="L217" s="12"/>
      <c r="M217" s="10"/>
      <c r="N217" s="14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customFormat="false" ht="15.75" hidden="false" customHeight="true" outlineLevel="0" collapsed="false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2"/>
      <c r="L218" s="12"/>
      <c r="M218" s="10"/>
      <c r="N218" s="14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customFormat="false" ht="15.75" hidden="false" customHeight="true" outlineLevel="0" collapsed="false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2"/>
      <c r="L219" s="12"/>
      <c r="M219" s="10"/>
      <c r="N219" s="14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customFormat="false" ht="15.75" hidden="false" customHeight="true" outlineLevel="0" collapsed="false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2"/>
      <c r="L220" s="12"/>
      <c r="M220" s="10"/>
      <c r="N220" s="14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customFormat="false" ht="15.75" hidden="false" customHeight="true" outlineLevel="0" collapsed="false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2"/>
      <c r="L221" s="12"/>
      <c r="M221" s="10"/>
      <c r="N221" s="14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customFormat="false" ht="15.75" hidden="false" customHeight="true" outlineLevel="0" collapsed="false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2"/>
      <c r="L222" s="12"/>
      <c r="M222" s="10"/>
      <c r="N222" s="14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customFormat="false" ht="15.75" hidden="false" customHeight="true" outlineLevel="0" collapsed="false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2"/>
      <c r="L223" s="12"/>
      <c r="M223" s="10"/>
      <c r="N223" s="14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customFormat="false" ht="15.75" hidden="false" customHeight="true" outlineLevel="0" collapsed="false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2"/>
      <c r="L224" s="12"/>
      <c r="M224" s="10"/>
      <c r="N224" s="14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customFormat="false" ht="15.75" hidden="false" customHeight="true" outlineLevel="0" collapsed="false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2"/>
      <c r="L225" s="12"/>
      <c r="M225" s="10"/>
      <c r="N225" s="14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customFormat="false" ht="15.75" hidden="false" customHeight="true" outlineLevel="0" collapsed="false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2"/>
      <c r="L226" s="12"/>
      <c r="M226" s="10"/>
      <c r="N226" s="14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customFormat="false" ht="15.75" hidden="false" customHeight="true" outlineLevel="0" collapsed="false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2"/>
      <c r="L227" s="12"/>
      <c r="M227" s="10"/>
      <c r="N227" s="14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customFormat="false" ht="15.75" hidden="false" customHeight="true" outlineLevel="0" collapsed="false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2"/>
      <c r="L228" s="12"/>
      <c r="M228" s="10"/>
      <c r="N228" s="14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customFormat="false" ht="15.75" hidden="false" customHeight="true" outlineLevel="0" collapsed="false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2"/>
      <c r="L229" s="12"/>
      <c r="M229" s="10"/>
      <c r="N229" s="14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customFormat="false" ht="15.75" hidden="false" customHeight="true" outlineLevel="0" collapsed="false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2"/>
      <c r="L230" s="12"/>
      <c r="M230" s="10"/>
      <c r="N230" s="14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customFormat="false" ht="15.75" hidden="false" customHeight="true" outlineLevel="0" collapsed="false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2"/>
      <c r="L231" s="12"/>
      <c r="M231" s="10"/>
      <c r="N231" s="14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customFormat="false" ht="15.75" hidden="false" customHeight="true" outlineLevel="0" collapsed="false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2"/>
      <c r="L232" s="12"/>
      <c r="M232" s="10"/>
      <c r="N232" s="14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customFormat="false" ht="15.75" hidden="false" customHeight="true" outlineLevel="0" collapsed="false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2"/>
      <c r="L233" s="12"/>
      <c r="M233" s="10"/>
      <c r="N233" s="14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customFormat="false" ht="15.75" hidden="false" customHeight="true" outlineLevel="0" collapsed="false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2"/>
      <c r="L234" s="12"/>
      <c r="M234" s="10"/>
      <c r="N234" s="14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customFormat="false" ht="15.75" hidden="false" customHeight="true" outlineLevel="0" collapsed="false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2"/>
      <c r="L235" s="12"/>
      <c r="M235" s="10"/>
      <c r="N235" s="14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customFormat="false" ht="15.75" hidden="false" customHeight="true" outlineLevel="0" collapsed="false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2"/>
      <c r="L236" s="12"/>
      <c r="M236" s="10"/>
      <c r="N236" s="14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customFormat="false" ht="15.75" hidden="false" customHeight="true" outlineLevel="0" collapsed="false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2"/>
      <c r="L237" s="12"/>
      <c r="M237" s="10"/>
      <c r="N237" s="14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customFormat="false" ht="15.75" hidden="false" customHeight="true" outlineLevel="0" collapsed="false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2"/>
      <c r="L238" s="12"/>
      <c r="M238" s="10"/>
      <c r="N238" s="14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customFormat="false" ht="15.75" hidden="false" customHeight="true" outlineLevel="0" collapsed="false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2"/>
      <c r="L239" s="12"/>
      <c r="M239" s="10"/>
      <c r="N239" s="14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customFormat="false" ht="15.75" hidden="false" customHeight="true" outlineLevel="0" collapsed="false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2"/>
      <c r="L240" s="12"/>
      <c r="M240" s="10"/>
      <c r="N240" s="14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customFormat="false" ht="15.75" hidden="false" customHeight="true" outlineLevel="0" collapsed="false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2"/>
      <c r="L241" s="12"/>
      <c r="M241" s="10"/>
      <c r="N241" s="14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customFormat="false" ht="15.75" hidden="false" customHeight="true" outlineLevel="0" collapsed="false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2"/>
      <c r="L242" s="12"/>
      <c r="M242" s="10"/>
      <c r="N242" s="14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customFormat="false" ht="15.75" hidden="false" customHeight="true" outlineLevel="0" collapsed="false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2"/>
      <c r="L243" s="12"/>
      <c r="M243" s="10"/>
      <c r="N243" s="14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customFormat="false" ht="15.75" hidden="false" customHeight="true" outlineLevel="0" collapsed="false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2"/>
      <c r="L244" s="12"/>
      <c r="M244" s="10"/>
      <c r="N244" s="14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customFormat="false" ht="15.75" hidden="false" customHeight="true" outlineLevel="0" collapsed="false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2"/>
      <c r="L245" s="12"/>
      <c r="M245" s="10"/>
      <c r="N245" s="14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customFormat="false" ht="15.75" hidden="false" customHeight="true" outlineLevel="0" collapsed="false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2"/>
      <c r="L246" s="12"/>
      <c r="M246" s="10"/>
      <c r="N246" s="14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customFormat="false" ht="15.75" hidden="false" customHeight="true" outlineLevel="0" collapsed="false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2"/>
      <c r="L247" s="12"/>
      <c r="M247" s="10"/>
      <c r="N247" s="14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customFormat="false" ht="15.75" hidden="false" customHeight="true" outlineLevel="0" collapsed="false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2"/>
      <c r="L248" s="12"/>
      <c r="M248" s="10"/>
      <c r="N248" s="14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customFormat="false" ht="15.75" hidden="false" customHeight="true" outlineLevel="0" collapsed="false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2"/>
      <c r="L249" s="12"/>
      <c r="M249" s="10"/>
      <c r="N249" s="14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customFormat="false" ht="15.75" hidden="false" customHeight="true" outlineLevel="0" collapsed="false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2"/>
      <c r="L250" s="12"/>
      <c r="M250" s="10"/>
      <c r="N250" s="14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customFormat="false" ht="15.75" hidden="false" customHeight="true" outlineLevel="0" collapsed="false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2"/>
      <c r="L251" s="12"/>
      <c r="M251" s="10"/>
      <c r="N251" s="14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customFormat="false" ht="15.75" hidden="false" customHeight="true" outlineLevel="0" collapsed="false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2"/>
      <c r="L252" s="12"/>
      <c r="M252" s="10"/>
      <c r="N252" s="14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customFormat="false" ht="15.75" hidden="false" customHeight="true" outlineLevel="0" collapsed="false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2"/>
      <c r="L253" s="12"/>
      <c r="M253" s="10"/>
      <c r="N253" s="14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customFormat="false" ht="15.75" hidden="false" customHeight="true" outlineLevel="0" collapsed="false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2"/>
      <c r="L254" s="12"/>
      <c r="M254" s="10"/>
      <c r="N254" s="14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customFormat="false" ht="15.75" hidden="false" customHeight="true" outlineLevel="0" collapsed="false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2"/>
      <c r="L255" s="12"/>
      <c r="M255" s="10"/>
      <c r="N255" s="14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customFormat="false" ht="15.75" hidden="false" customHeight="true" outlineLevel="0" collapsed="false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2"/>
      <c r="L256" s="12"/>
      <c r="M256" s="10"/>
      <c r="N256" s="14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customFormat="false" ht="15.75" hidden="false" customHeight="true" outlineLevel="0" collapsed="false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2"/>
      <c r="L257" s="12"/>
      <c r="M257" s="10"/>
      <c r="N257" s="14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customFormat="false" ht="15.75" hidden="false" customHeight="true" outlineLevel="0" collapsed="false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2"/>
      <c r="L258" s="12"/>
      <c r="M258" s="10"/>
      <c r="N258" s="14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customFormat="false" ht="15.75" hidden="false" customHeight="true" outlineLevel="0" collapsed="false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2"/>
      <c r="L259" s="12"/>
      <c r="M259" s="10"/>
      <c r="N259" s="14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customFormat="false" ht="15.75" hidden="false" customHeight="true" outlineLevel="0" collapsed="false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2"/>
      <c r="L260" s="12"/>
      <c r="M260" s="10"/>
      <c r="N260" s="14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customFormat="false" ht="15.75" hidden="false" customHeight="true" outlineLevel="0" collapsed="false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2"/>
      <c r="L261" s="12"/>
      <c r="M261" s="10"/>
      <c r="N261" s="14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customFormat="false" ht="15.75" hidden="false" customHeight="true" outlineLevel="0" collapsed="false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2"/>
      <c r="L262" s="12"/>
      <c r="M262" s="10"/>
      <c r="N262" s="14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customFormat="false" ht="15.75" hidden="false" customHeight="true" outlineLevel="0" collapsed="false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2"/>
      <c r="L263" s="12"/>
      <c r="M263" s="10"/>
      <c r="N263" s="14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customFormat="false" ht="15.75" hidden="false" customHeight="true" outlineLevel="0" collapsed="false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2"/>
      <c r="L264" s="12"/>
      <c r="M264" s="10"/>
      <c r="N264" s="14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customFormat="false" ht="15.75" hidden="false" customHeight="true" outlineLevel="0" collapsed="false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2"/>
      <c r="L265" s="12"/>
      <c r="M265" s="10"/>
      <c r="N265" s="14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customFormat="false" ht="15.75" hidden="false" customHeight="true" outlineLevel="0" collapsed="false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2"/>
      <c r="L266" s="12"/>
      <c r="M266" s="10"/>
      <c r="N266" s="14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customFormat="false" ht="15.75" hidden="false" customHeight="true" outlineLevel="0" collapsed="false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2"/>
      <c r="L267" s="12"/>
      <c r="M267" s="10"/>
      <c r="N267" s="14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customFormat="false" ht="15.75" hidden="false" customHeight="true" outlineLevel="0" collapsed="false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2"/>
      <c r="L268" s="12"/>
      <c r="M268" s="10"/>
      <c r="N268" s="14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customFormat="false" ht="15.75" hidden="false" customHeight="true" outlineLevel="0" collapsed="false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2"/>
      <c r="L269" s="12"/>
      <c r="M269" s="10"/>
      <c r="N269" s="14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customFormat="false" ht="15.75" hidden="false" customHeight="true" outlineLevel="0" collapsed="false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2"/>
      <c r="L270" s="12"/>
      <c r="M270" s="10"/>
      <c r="N270" s="14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customFormat="false" ht="15.75" hidden="false" customHeight="true" outlineLevel="0" collapsed="false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2"/>
      <c r="L271" s="12"/>
      <c r="M271" s="10"/>
      <c r="N271" s="14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customFormat="false" ht="15.75" hidden="false" customHeight="true" outlineLevel="0" collapsed="false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2"/>
      <c r="L272" s="12"/>
      <c r="M272" s="10"/>
      <c r="N272" s="14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customFormat="false" ht="15.75" hidden="false" customHeight="true" outlineLevel="0" collapsed="false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2"/>
      <c r="L273" s="12"/>
      <c r="M273" s="10"/>
      <c r="N273" s="14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customFormat="false" ht="15.75" hidden="false" customHeight="true" outlineLevel="0" collapsed="false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2"/>
      <c r="L274" s="12"/>
      <c r="M274" s="10"/>
      <c r="N274" s="14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customFormat="false" ht="15.75" hidden="false" customHeight="true" outlineLevel="0" collapsed="false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2"/>
      <c r="L275" s="12"/>
      <c r="M275" s="10"/>
      <c r="N275" s="14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customFormat="false" ht="15.75" hidden="false" customHeight="true" outlineLevel="0" collapsed="false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2"/>
      <c r="L276" s="12"/>
      <c r="M276" s="10"/>
      <c r="N276" s="14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customFormat="false" ht="15.75" hidden="false" customHeight="true" outlineLevel="0" collapsed="false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2"/>
      <c r="L277" s="12"/>
      <c r="M277" s="10"/>
      <c r="N277" s="14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customFormat="false" ht="15.75" hidden="false" customHeight="true" outlineLevel="0" collapsed="false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2"/>
      <c r="L278" s="12"/>
      <c r="M278" s="10"/>
      <c r="N278" s="14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customFormat="false" ht="15.75" hidden="false" customHeight="true" outlineLevel="0" collapsed="false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2"/>
      <c r="L279" s="12"/>
      <c r="M279" s="10"/>
      <c r="N279" s="14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customFormat="false" ht="15.75" hidden="false" customHeight="true" outlineLevel="0" collapsed="false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2"/>
      <c r="L280" s="12"/>
      <c r="M280" s="10"/>
      <c r="N280" s="14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customFormat="false" ht="15.75" hidden="false" customHeight="true" outlineLevel="0" collapsed="false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2"/>
      <c r="L281" s="12"/>
      <c r="M281" s="10"/>
      <c r="N281" s="14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customFormat="false" ht="15.75" hidden="false" customHeight="true" outlineLevel="0" collapsed="false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2"/>
      <c r="L282" s="12"/>
      <c r="M282" s="10"/>
      <c r="N282" s="14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customFormat="false" ht="15.75" hidden="false" customHeight="true" outlineLevel="0" collapsed="false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2"/>
      <c r="L283" s="12"/>
      <c r="M283" s="10"/>
      <c r="N283" s="14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customFormat="false" ht="15.75" hidden="false" customHeight="true" outlineLevel="0" collapsed="false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2"/>
      <c r="L284" s="12"/>
      <c r="M284" s="10"/>
      <c r="N284" s="14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customFormat="false" ht="15.75" hidden="false" customHeight="true" outlineLevel="0" collapsed="false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2"/>
      <c r="L285" s="12"/>
      <c r="M285" s="10"/>
      <c r="N285" s="14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customFormat="false" ht="15.75" hidden="false" customHeight="true" outlineLevel="0" collapsed="false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2"/>
      <c r="L286" s="12"/>
      <c r="M286" s="10"/>
      <c r="N286" s="14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customFormat="false" ht="15.75" hidden="false" customHeight="true" outlineLevel="0" collapsed="false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2"/>
      <c r="L287" s="12"/>
      <c r="M287" s="10"/>
      <c r="N287" s="14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customFormat="false" ht="15.75" hidden="false" customHeight="true" outlineLevel="0" collapsed="false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2"/>
      <c r="L288" s="12"/>
      <c r="M288" s="10"/>
      <c r="N288" s="14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customFormat="false" ht="15.75" hidden="false" customHeight="true" outlineLevel="0" collapsed="false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2"/>
      <c r="L289" s="12"/>
      <c r="M289" s="10"/>
      <c r="N289" s="14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customFormat="false" ht="15.75" hidden="false" customHeight="true" outlineLevel="0" collapsed="false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2"/>
      <c r="L290" s="12"/>
      <c r="M290" s="10"/>
      <c r="N290" s="14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customFormat="false" ht="15.75" hidden="false" customHeight="true" outlineLevel="0" collapsed="false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2"/>
      <c r="L291" s="12"/>
      <c r="M291" s="10"/>
      <c r="N291" s="14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customFormat="false" ht="15.75" hidden="false" customHeight="true" outlineLevel="0" collapsed="false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2"/>
      <c r="L292" s="12"/>
      <c r="M292" s="10"/>
      <c r="N292" s="14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customFormat="false" ht="15.75" hidden="false" customHeight="true" outlineLevel="0" collapsed="false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2"/>
      <c r="L293" s="12"/>
      <c r="M293" s="10"/>
      <c r="N293" s="14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customFormat="false" ht="15.75" hidden="false" customHeight="true" outlineLevel="0" collapsed="false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2"/>
      <c r="L294" s="12"/>
      <c r="M294" s="10"/>
      <c r="N294" s="14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customFormat="false" ht="15.75" hidden="false" customHeight="true" outlineLevel="0" collapsed="false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2"/>
      <c r="L295" s="12"/>
      <c r="M295" s="10"/>
      <c r="N295" s="14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customFormat="false" ht="15.75" hidden="false" customHeight="true" outlineLevel="0" collapsed="false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2"/>
      <c r="L296" s="12"/>
      <c r="M296" s="10"/>
      <c r="N296" s="14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customFormat="false" ht="15.75" hidden="false" customHeight="true" outlineLevel="0" collapsed="false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2"/>
      <c r="L297" s="12"/>
      <c r="M297" s="10"/>
      <c r="N297" s="14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customFormat="false" ht="15.75" hidden="false" customHeight="true" outlineLevel="0" collapsed="false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2"/>
      <c r="L298" s="12"/>
      <c r="M298" s="10"/>
      <c r="N298" s="14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customFormat="false" ht="15.75" hidden="false" customHeight="true" outlineLevel="0" collapsed="false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2"/>
      <c r="L299" s="12"/>
      <c r="M299" s="10"/>
      <c r="N299" s="14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customFormat="false" ht="15.75" hidden="false" customHeight="true" outlineLevel="0" collapsed="false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2"/>
      <c r="L300" s="12"/>
      <c r="M300" s="10"/>
      <c r="N300" s="14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customFormat="false" ht="15.75" hidden="false" customHeight="true" outlineLevel="0" collapsed="false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2"/>
      <c r="L301" s="12"/>
      <c r="M301" s="10"/>
      <c r="N301" s="14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customFormat="false" ht="15.75" hidden="false" customHeight="true" outlineLevel="0" collapsed="false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2"/>
      <c r="L302" s="12"/>
      <c r="M302" s="10"/>
      <c r="N302" s="14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customFormat="false" ht="15.75" hidden="false" customHeight="true" outlineLevel="0" collapsed="false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2"/>
      <c r="L303" s="12"/>
      <c r="M303" s="10"/>
      <c r="N303" s="14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customFormat="false" ht="15.75" hidden="false" customHeight="true" outlineLevel="0" collapsed="false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2"/>
      <c r="L304" s="12"/>
      <c r="M304" s="10"/>
      <c r="N304" s="14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customFormat="false" ht="15.75" hidden="false" customHeight="true" outlineLevel="0" collapsed="false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2"/>
      <c r="L305" s="12"/>
      <c r="M305" s="10"/>
      <c r="N305" s="14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customFormat="false" ht="15.75" hidden="false" customHeight="true" outlineLevel="0" collapsed="false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2"/>
      <c r="L306" s="12"/>
      <c r="M306" s="10"/>
      <c r="N306" s="14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customFormat="false" ht="15.75" hidden="false" customHeight="true" outlineLevel="0" collapsed="false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2"/>
      <c r="L307" s="12"/>
      <c r="M307" s="10"/>
      <c r="N307" s="14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customFormat="false" ht="15.75" hidden="false" customHeight="true" outlineLevel="0" collapsed="false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2"/>
      <c r="L308" s="12"/>
      <c r="M308" s="10"/>
      <c r="N308" s="14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customFormat="false" ht="15.75" hidden="false" customHeight="true" outlineLevel="0" collapsed="false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2"/>
      <c r="L309" s="12"/>
      <c r="M309" s="10"/>
      <c r="N309" s="14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customFormat="false" ht="15.75" hidden="false" customHeight="true" outlineLevel="0" collapsed="false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2"/>
      <c r="L310" s="12"/>
      <c r="M310" s="10"/>
      <c r="N310" s="14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customFormat="false" ht="15.75" hidden="false" customHeight="true" outlineLevel="0" collapsed="false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2"/>
      <c r="L311" s="12"/>
      <c r="M311" s="10"/>
      <c r="N311" s="14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customFormat="false" ht="15.75" hidden="false" customHeight="true" outlineLevel="0" collapsed="false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2"/>
      <c r="L312" s="12"/>
      <c r="M312" s="10"/>
      <c r="N312" s="14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customFormat="false" ht="15.75" hidden="false" customHeight="true" outlineLevel="0" collapsed="false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2"/>
      <c r="L313" s="12"/>
      <c r="M313" s="10"/>
      <c r="N313" s="14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customFormat="false" ht="15.75" hidden="false" customHeight="true" outlineLevel="0" collapsed="false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2"/>
      <c r="L314" s="12"/>
      <c r="M314" s="10"/>
      <c r="N314" s="14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customFormat="false" ht="15.75" hidden="false" customHeight="true" outlineLevel="0" collapsed="false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2"/>
      <c r="L315" s="12"/>
      <c r="M315" s="10"/>
      <c r="N315" s="14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customFormat="false" ht="15.75" hidden="false" customHeight="true" outlineLevel="0" collapsed="false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2"/>
      <c r="L316" s="12"/>
      <c r="M316" s="10"/>
      <c r="N316" s="14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customFormat="false" ht="15.75" hidden="false" customHeight="true" outlineLevel="0" collapsed="false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2"/>
      <c r="L317" s="12"/>
      <c r="M317" s="10"/>
      <c r="N317" s="14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customFormat="false" ht="15.75" hidden="false" customHeight="true" outlineLevel="0" collapsed="false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2"/>
      <c r="L318" s="12"/>
      <c r="M318" s="10"/>
      <c r="N318" s="14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customFormat="false" ht="15.75" hidden="false" customHeight="true" outlineLevel="0" collapsed="false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2"/>
      <c r="L319" s="12"/>
      <c r="M319" s="10"/>
      <c r="N319" s="14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customFormat="false" ht="15.75" hidden="false" customHeight="true" outlineLevel="0" collapsed="false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2"/>
      <c r="L320" s="12"/>
      <c r="M320" s="10"/>
      <c r="N320" s="14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customFormat="false" ht="15.75" hidden="false" customHeight="true" outlineLevel="0" collapsed="false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2"/>
      <c r="L321" s="12"/>
      <c r="M321" s="10"/>
      <c r="N321" s="14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customFormat="false" ht="15.75" hidden="false" customHeight="true" outlineLevel="0" collapsed="false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2"/>
      <c r="L322" s="12"/>
      <c r="M322" s="10"/>
      <c r="N322" s="14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customFormat="false" ht="15.75" hidden="false" customHeight="true" outlineLevel="0" collapsed="false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2"/>
      <c r="L323" s="12"/>
      <c r="M323" s="10"/>
      <c r="N323" s="14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customFormat="false" ht="15.75" hidden="false" customHeight="true" outlineLevel="0" collapsed="false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2"/>
      <c r="L324" s="12"/>
      <c r="M324" s="10"/>
      <c r="N324" s="14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customFormat="false" ht="15.75" hidden="false" customHeight="true" outlineLevel="0" collapsed="false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2"/>
      <c r="L325" s="12"/>
      <c r="M325" s="10"/>
      <c r="N325" s="14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customFormat="false" ht="15.75" hidden="false" customHeight="true" outlineLevel="0" collapsed="false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2"/>
      <c r="L326" s="12"/>
      <c r="M326" s="10"/>
      <c r="N326" s="14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customFormat="false" ht="15.75" hidden="false" customHeight="true" outlineLevel="0" collapsed="false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2"/>
      <c r="L327" s="12"/>
      <c r="M327" s="10"/>
      <c r="N327" s="14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customFormat="false" ht="15.75" hidden="false" customHeight="true" outlineLevel="0" collapsed="false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2"/>
      <c r="L328" s="12"/>
      <c r="M328" s="10"/>
      <c r="N328" s="14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customFormat="false" ht="15.75" hidden="false" customHeight="true" outlineLevel="0" collapsed="false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2"/>
      <c r="L329" s="12"/>
      <c r="M329" s="10"/>
      <c r="N329" s="14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customFormat="false" ht="15.75" hidden="false" customHeight="true" outlineLevel="0" collapsed="false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2"/>
      <c r="L330" s="12"/>
      <c r="M330" s="10"/>
      <c r="N330" s="14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customFormat="false" ht="15.75" hidden="false" customHeight="true" outlineLevel="0" collapsed="false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2"/>
      <c r="L331" s="12"/>
      <c r="M331" s="10"/>
      <c r="N331" s="14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customFormat="false" ht="15.75" hidden="false" customHeight="true" outlineLevel="0" collapsed="false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2"/>
      <c r="L332" s="12"/>
      <c r="M332" s="10"/>
      <c r="N332" s="14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customFormat="false" ht="15.75" hidden="false" customHeight="true" outlineLevel="0" collapsed="false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2"/>
      <c r="L333" s="12"/>
      <c r="M333" s="10"/>
      <c r="N333" s="14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customFormat="false" ht="15.75" hidden="false" customHeight="true" outlineLevel="0" collapsed="false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2"/>
      <c r="L334" s="12"/>
      <c r="M334" s="10"/>
      <c r="N334" s="14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customFormat="false" ht="15.75" hidden="false" customHeight="true" outlineLevel="0" collapsed="false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2"/>
      <c r="L335" s="12"/>
      <c r="M335" s="10"/>
      <c r="N335" s="14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customFormat="false" ht="15.75" hidden="false" customHeight="true" outlineLevel="0" collapsed="false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2"/>
      <c r="L336" s="12"/>
      <c r="M336" s="10"/>
      <c r="N336" s="14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customFormat="false" ht="15.75" hidden="false" customHeight="true" outlineLevel="0" collapsed="false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2"/>
      <c r="L337" s="12"/>
      <c r="M337" s="10"/>
      <c r="N337" s="14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customFormat="false" ht="15.75" hidden="false" customHeight="true" outlineLevel="0" collapsed="false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2"/>
      <c r="L338" s="12"/>
      <c r="M338" s="10"/>
      <c r="N338" s="14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customFormat="false" ht="15.75" hidden="false" customHeight="true" outlineLevel="0" collapsed="false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2"/>
      <c r="L339" s="12"/>
      <c r="M339" s="10"/>
      <c r="N339" s="14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customFormat="false" ht="15.75" hidden="false" customHeight="true" outlineLevel="0" collapsed="false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2"/>
      <c r="L340" s="12"/>
      <c r="M340" s="10"/>
      <c r="N340" s="14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customFormat="false" ht="15.75" hidden="false" customHeight="true" outlineLevel="0" collapsed="false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2"/>
      <c r="L341" s="12"/>
      <c r="M341" s="10"/>
      <c r="N341" s="14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customFormat="false" ht="15.75" hidden="false" customHeight="true" outlineLevel="0" collapsed="false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2"/>
      <c r="L342" s="12"/>
      <c r="M342" s="10"/>
      <c r="N342" s="14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customFormat="false" ht="15.75" hidden="false" customHeight="true" outlineLevel="0" collapsed="false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2"/>
      <c r="L343" s="12"/>
      <c r="M343" s="10"/>
      <c r="N343" s="14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customFormat="false" ht="15.75" hidden="false" customHeight="true" outlineLevel="0" collapsed="false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2"/>
      <c r="L344" s="12"/>
      <c r="M344" s="10"/>
      <c r="N344" s="14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customFormat="false" ht="15.75" hidden="false" customHeight="true" outlineLevel="0" collapsed="false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2"/>
      <c r="L345" s="12"/>
      <c r="M345" s="10"/>
      <c r="N345" s="14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customFormat="false" ht="15.75" hidden="false" customHeight="true" outlineLevel="0" collapsed="false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2"/>
      <c r="L346" s="12"/>
      <c r="M346" s="10"/>
      <c r="N346" s="14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customFormat="false" ht="15.75" hidden="false" customHeight="true" outlineLevel="0" collapsed="false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2"/>
      <c r="L347" s="12"/>
      <c r="M347" s="10"/>
      <c r="N347" s="14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customFormat="false" ht="15.75" hidden="false" customHeight="true" outlineLevel="0" collapsed="false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2"/>
      <c r="L348" s="12"/>
      <c r="M348" s="10"/>
      <c r="N348" s="14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customFormat="false" ht="15.75" hidden="false" customHeight="true" outlineLevel="0" collapsed="false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2"/>
      <c r="L349" s="12"/>
      <c r="M349" s="10"/>
      <c r="N349" s="14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customFormat="false" ht="15.75" hidden="false" customHeight="true" outlineLevel="0" collapsed="false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2"/>
      <c r="L350" s="12"/>
      <c r="M350" s="10"/>
      <c r="N350" s="14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customFormat="false" ht="15.75" hidden="false" customHeight="true" outlineLevel="0" collapsed="false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2"/>
      <c r="L351" s="12"/>
      <c r="M351" s="10"/>
      <c r="N351" s="14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customFormat="false" ht="15.75" hidden="false" customHeight="true" outlineLevel="0" collapsed="false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2"/>
      <c r="L352" s="12"/>
      <c r="M352" s="10"/>
      <c r="N352" s="14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customFormat="false" ht="15.75" hidden="false" customHeight="true" outlineLevel="0" collapsed="false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2"/>
      <c r="L353" s="12"/>
      <c r="M353" s="10"/>
      <c r="N353" s="14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customFormat="false" ht="15.75" hidden="false" customHeight="true" outlineLevel="0" collapsed="false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2"/>
      <c r="L354" s="12"/>
      <c r="M354" s="10"/>
      <c r="N354" s="14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customFormat="false" ht="15.75" hidden="false" customHeight="true" outlineLevel="0" collapsed="false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2"/>
      <c r="L355" s="12"/>
      <c r="M355" s="10"/>
      <c r="N355" s="14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customFormat="false" ht="15.75" hidden="false" customHeight="true" outlineLevel="0" collapsed="false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2"/>
      <c r="L356" s="12"/>
      <c r="M356" s="10"/>
      <c r="N356" s="14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customFormat="false" ht="15.75" hidden="false" customHeight="true" outlineLevel="0" collapsed="false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2"/>
      <c r="L357" s="12"/>
      <c r="M357" s="10"/>
      <c r="N357" s="14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customFormat="false" ht="15.75" hidden="false" customHeight="true" outlineLevel="0" collapsed="false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2"/>
      <c r="L358" s="12"/>
      <c r="M358" s="10"/>
      <c r="N358" s="14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customFormat="false" ht="15.75" hidden="false" customHeight="true" outlineLevel="0" collapsed="false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2"/>
      <c r="L359" s="12"/>
      <c r="M359" s="10"/>
      <c r="N359" s="14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customFormat="false" ht="15.75" hidden="false" customHeight="true" outlineLevel="0" collapsed="false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2"/>
      <c r="L360" s="12"/>
      <c r="M360" s="10"/>
      <c r="N360" s="14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customFormat="false" ht="15.75" hidden="false" customHeight="true" outlineLevel="0" collapsed="false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2"/>
      <c r="L361" s="12"/>
      <c r="M361" s="10"/>
      <c r="N361" s="14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customFormat="false" ht="15.75" hidden="false" customHeight="true" outlineLevel="0" collapsed="false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2"/>
      <c r="L362" s="12"/>
      <c r="M362" s="10"/>
      <c r="N362" s="14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customFormat="false" ht="15.75" hidden="false" customHeight="true" outlineLevel="0" collapsed="false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2"/>
      <c r="L363" s="12"/>
      <c r="M363" s="10"/>
      <c r="N363" s="14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customFormat="false" ht="15.75" hidden="false" customHeight="true" outlineLevel="0" collapsed="false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2"/>
      <c r="L364" s="12"/>
      <c r="M364" s="10"/>
      <c r="N364" s="14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customFormat="false" ht="15.75" hidden="false" customHeight="true" outlineLevel="0" collapsed="false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2"/>
      <c r="L365" s="12"/>
      <c r="M365" s="10"/>
      <c r="N365" s="14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customFormat="false" ht="15.75" hidden="false" customHeight="true" outlineLevel="0" collapsed="false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2"/>
      <c r="L366" s="12"/>
      <c r="M366" s="10"/>
      <c r="N366" s="14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customFormat="false" ht="15.75" hidden="false" customHeight="true" outlineLevel="0" collapsed="false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2"/>
      <c r="L367" s="12"/>
      <c r="M367" s="10"/>
      <c r="N367" s="14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customFormat="false" ht="15.75" hidden="false" customHeight="true" outlineLevel="0" collapsed="false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2"/>
      <c r="L368" s="12"/>
      <c r="M368" s="10"/>
      <c r="N368" s="14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customFormat="false" ht="15.75" hidden="false" customHeight="true" outlineLevel="0" collapsed="false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2"/>
      <c r="L369" s="12"/>
      <c r="M369" s="10"/>
      <c r="N369" s="14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customFormat="false" ht="15.75" hidden="false" customHeight="true" outlineLevel="0" collapsed="false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2"/>
      <c r="L370" s="12"/>
      <c r="M370" s="10"/>
      <c r="N370" s="14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customFormat="false" ht="15.75" hidden="false" customHeight="true" outlineLevel="0" collapsed="false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2"/>
      <c r="L371" s="12"/>
      <c r="M371" s="10"/>
      <c r="N371" s="14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customFormat="false" ht="15.75" hidden="false" customHeight="true" outlineLevel="0" collapsed="false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2"/>
      <c r="L372" s="12"/>
      <c r="M372" s="10"/>
      <c r="N372" s="14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customFormat="false" ht="15.75" hidden="false" customHeight="true" outlineLevel="0" collapsed="false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2"/>
      <c r="L373" s="12"/>
      <c r="M373" s="10"/>
      <c r="N373" s="14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customFormat="false" ht="15.75" hidden="false" customHeight="true" outlineLevel="0" collapsed="false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2"/>
      <c r="L374" s="12"/>
      <c r="M374" s="10"/>
      <c r="N374" s="14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customFormat="false" ht="15.75" hidden="false" customHeight="true" outlineLevel="0" collapsed="false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2"/>
      <c r="L375" s="12"/>
      <c r="M375" s="10"/>
      <c r="N375" s="14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customFormat="false" ht="15.75" hidden="false" customHeight="true" outlineLevel="0" collapsed="false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2"/>
      <c r="L376" s="12"/>
      <c r="M376" s="10"/>
      <c r="N376" s="14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customFormat="false" ht="15.75" hidden="false" customHeight="true" outlineLevel="0" collapsed="false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2"/>
      <c r="L377" s="12"/>
      <c r="M377" s="10"/>
      <c r="N377" s="14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customFormat="false" ht="15.75" hidden="false" customHeight="true" outlineLevel="0" collapsed="false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2"/>
      <c r="L378" s="12"/>
      <c r="M378" s="10"/>
      <c r="N378" s="14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customFormat="false" ht="15.75" hidden="false" customHeight="true" outlineLevel="0" collapsed="false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2"/>
      <c r="L379" s="12"/>
      <c r="M379" s="10"/>
      <c r="N379" s="14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customFormat="false" ht="15.75" hidden="false" customHeight="true" outlineLevel="0" collapsed="false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2"/>
      <c r="L380" s="12"/>
      <c r="M380" s="10"/>
      <c r="N380" s="14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customFormat="false" ht="15.75" hidden="false" customHeight="true" outlineLevel="0" collapsed="false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2"/>
      <c r="L381" s="12"/>
      <c r="M381" s="10"/>
      <c r="N381" s="14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customFormat="false" ht="15.75" hidden="false" customHeight="true" outlineLevel="0" collapsed="false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2"/>
      <c r="L382" s="12"/>
      <c r="M382" s="10"/>
      <c r="N382" s="14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customFormat="false" ht="15.75" hidden="false" customHeight="true" outlineLevel="0" collapsed="false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2"/>
      <c r="L383" s="12"/>
      <c r="M383" s="10"/>
      <c r="N383" s="14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customFormat="false" ht="15.75" hidden="false" customHeight="true" outlineLevel="0" collapsed="false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2"/>
      <c r="L384" s="12"/>
      <c r="M384" s="10"/>
      <c r="N384" s="14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customFormat="false" ht="15.75" hidden="false" customHeight="true" outlineLevel="0" collapsed="false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2"/>
      <c r="L385" s="12"/>
      <c r="M385" s="10"/>
      <c r="N385" s="14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customFormat="false" ht="15.75" hidden="false" customHeight="true" outlineLevel="0" collapsed="false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2"/>
      <c r="L386" s="12"/>
      <c r="M386" s="10"/>
      <c r="N386" s="14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customFormat="false" ht="15.75" hidden="false" customHeight="true" outlineLevel="0" collapsed="false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2"/>
      <c r="L387" s="12"/>
      <c r="M387" s="10"/>
      <c r="N387" s="14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customFormat="false" ht="15.75" hidden="false" customHeight="true" outlineLevel="0" collapsed="false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2"/>
      <c r="L388" s="12"/>
      <c r="M388" s="10"/>
      <c r="N388" s="14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customFormat="false" ht="15.75" hidden="false" customHeight="true" outlineLevel="0" collapsed="false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2"/>
      <c r="L389" s="12"/>
      <c r="M389" s="10"/>
      <c r="N389" s="14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customFormat="false" ht="15.75" hidden="false" customHeight="true" outlineLevel="0" collapsed="false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2"/>
      <c r="L390" s="12"/>
      <c r="M390" s="10"/>
      <c r="N390" s="14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customFormat="false" ht="15.75" hidden="false" customHeight="true" outlineLevel="0" collapsed="false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2"/>
      <c r="L391" s="12"/>
      <c r="M391" s="10"/>
      <c r="N391" s="14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customFormat="false" ht="15.75" hidden="false" customHeight="true" outlineLevel="0" collapsed="false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2"/>
      <c r="L392" s="12"/>
      <c r="M392" s="10"/>
      <c r="N392" s="14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customFormat="false" ht="15.75" hidden="false" customHeight="true" outlineLevel="0" collapsed="false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2"/>
      <c r="L393" s="12"/>
      <c r="M393" s="10"/>
      <c r="N393" s="14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customFormat="false" ht="15.75" hidden="false" customHeight="true" outlineLevel="0" collapsed="false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2"/>
      <c r="L394" s="12"/>
      <c r="M394" s="10"/>
      <c r="N394" s="14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customFormat="false" ht="15.75" hidden="false" customHeight="true" outlineLevel="0" collapsed="false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2"/>
      <c r="L395" s="12"/>
      <c r="M395" s="10"/>
      <c r="N395" s="14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customFormat="false" ht="15.75" hidden="false" customHeight="true" outlineLevel="0" collapsed="false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2"/>
      <c r="L396" s="12"/>
      <c r="M396" s="10"/>
      <c r="N396" s="14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customFormat="false" ht="15.75" hidden="false" customHeight="true" outlineLevel="0" collapsed="false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2"/>
      <c r="L397" s="12"/>
      <c r="M397" s="10"/>
      <c r="N397" s="14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customFormat="false" ht="15.75" hidden="false" customHeight="true" outlineLevel="0" collapsed="false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2"/>
      <c r="L398" s="12"/>
      <c r="M398" s="10"/>
      <c r="N398" s="14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customFormat="false" ht="15.75" hidden="false" customHeight="true" outlineLevel="0" collapsed="false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2"/>
      <c r="L399" s="12"/>
      <c r="M399" s="10"/>
      <c r="N399" s="14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customFormat="false" ht="15.75" hidden="false" customHeight="true" outlineLevel="0" collapsed="false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2"/>
      <c r="L400" s="12"/>
      <c r="M400" s="10"/>
      <c r="N400" s="14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customFormat="false" ht="15.75" hidden="false" customHeight="true" outlineLevel="0" collapsed="false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2"/>
      <c r="L401" s="12"/>
      <c r="M401" s="10"/>
      <c r="N401" s="14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customFormat="false" ht="15.75" hidden="false" customHeight="true" outlineLevel="0" collapsed="false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2"/>
      <c r="L402" s="12"/>
      <c r="M402" s="10"/>
      <c r="N402" s="14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customFormat="false" ht="15.75" hidden="false" customHeight="true" outlineLevel="0" collapsed="false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2"/>
      <c r="L403" s="12"/>
      <c r="M403" s="10"/>
      <c r="N403" s="14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customFormat="false" ht="15.75" hidden="false" customHeight="true" outlineLevel="0" collapsed="false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2"/>
      <c r="L404" s="12"/>
      <c r="M404" s="10"/>
      <c r="N404" s="14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customFormat="false" ht="15.75" hidden="false" customHeight="true" outlineLevel="0" collapsed="false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2"/>
      <c r="L405" s="12"/>
      <c r="M405" s="10"/>
      <c r="N405" s="14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customFormat="false" ht="15.75" hidden="false" customHeight="true" outlineLevel="0" collapsed="false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2"/>
      <c r="L406" s="12"/>
      <c r="M406" s="10"/>
      <c r="N406" s="14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customFormat="false" ht="15.75" hidden="false" customHeight="true" outlineLevel="0" collapsed="false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2"/>
      <c r="L407" s="12"/>
      <c r="M407" s="10"/>
      <c r="N407" s="14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customFormat="false" ht="15.75" hidden="false" customHeight="true" outlineLevel="0" collapsed="false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2"/>
      <c r="L408" s="12"/>
      <c r="M408" s="10"/>
      <c r="N408" s="14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customFormat="false" ht="15.75" hidden="false" customHeight="true" outlineLevel="0" collapsed="false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2"/>
      <c r="L409" s="12"/>
      <c r="M409" s="10"/>
      <c r="N409" s="14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customFormat="false" ht="15.75" hidden="false" customHeight="true" outlineLevel="0" collapsed="false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2"/>
      <c r="L410" s="12"/>
      <c r="M410" s="10"/>
      <c r="N410" s="14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customFormat="false" ht="15.75" hidden="false" customHeight="true" outlineLevel="0" collapsed="false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2"/>
      <c r="L411" s="12"/>
      <c r="M411" s="10"/>
      <c r="N411" s="14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customFormat="false" ht="15.75" hidden="false" customHeight="true" outlineLevel="0" collapsed="false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2"/>
      <c r="L412" s="12"/>
      <c r="M412" s="10"/>
      <c r="N412" s="14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customFormat="false" ht="15.75" hidden="false" customHeight="true" outlineLevel="0" collapsed="false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2"/>
      <c r="L413" s="12"/>
      <c r="M413" s="10"/>
      <c r="N413" s="14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customFormat="false" ht="15.75" hidden="false" customHeight="true" outlineLevel="0" collapsed="false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2"/>
      <c r="L414" s="12"/>
      <c r="M414" s="10"/>
      <c r="N414" s="14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customFormat="false" ht="15.75" hidden="false" customHeight="true" outlineLevel="0" collapsed="false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2"/>
      <c r="L415" s="12"/>
      <c r="M415" s="10"/>
      <c r="N415" s="14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customFormat="false" ht="15.75" hidden="false" customHeight="true" outlineLevel="0" collapsed="false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2"/>
      <c r="L416" s="12"/>
      <c r="M416" s="10"/>
      <c r="N416" s="14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customFormat="false" ht="15.75" hidden="false" customHeight="true" outlineLevel="0" collapsed="false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2"/>
      <c r="L417" s="12"/>
      <c r="M417" s="10"/>
      <c r="N417" s="14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customFormat="false" ht="15.75" hidden="false" customHeight="true" outlineLevel="0" collapsed="false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2"/>
      <c r="L418" s="12"/>
      <c r="M418" s="10"/>
      <c r="N418" s="14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customFormat="false" ht="15.75" hidden="false" customHeight="true" outlineLevel="0" collapsed="false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2"/>
      <c r="L419" s="12"/>
      <c r="M419" s="10"/>
      <c r="N419" s="14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customFormat="false" ht="15.75" hidden="false" customHeight="true" outlineLevel="0" collapsed="false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2"/>
      <c r="L420" s="12"/>
      <c r="M420" s="10"/>
      <c r="N420" s="14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customFormat="false" ht="15.75" hidden="false" customHeight="true" outlineLevel="0" collapsed="false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2"/>
      <c r="L421" s="12"/>
      <c r="M421" s="10"/>
      <c r="N421" s="14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customFormat="false" ht="15.75" hidden="false" customHeight="true" outlineLevel="0" collapsed="false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2"/>
      <c r="L422" s="12"/>
      <c r="M422" s="10"/>
      <c r="N422" s="14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customFormat="false" ht="15.75" hidden="false" customHeight="true" outlineLevel="0" collapsed="false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2"/>
      <c r="L423" s="12"/>
      <c r="M423" s="10"/>
      <c r="N423" s="14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customFormat="false" ht="15.75" hidden="false" customHeight="true" outlineLevel="0" collapsed="false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2"/>
      <c r="L424" s="12"/>
      <c r="M424" s="10"/>
      <c r="N424" s="14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customFormat="false" ht="15.75" hidden="false" customHeight="true" outlineLevel="0" collapsed="false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2"/>
      <c r="L425" s="12"/>
      <c r="M425" s="10"/>
      <c r="N425" s="14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customFormat="false" ht="15.75" hidden="false" customHeight="true" outlineLevel="0" collapsed="false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2"/>
      <c r="L426" s="12"/>
      <c r="M426" s="10"/>
      <c r="N426" s="14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customFormat="false" ht="15.75" hidden="false" customHeight="true" outlineLevel="0" collapsed="false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2"/>
      <c r="L427" s="12"/>
      <c r="M427" s="10"/>
      <c r="N427" s="14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customFormat="false" ht="15.75" hidden="false" customHeight="true" outlineLevel="0" collapsed="false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2"/>
      <c r="L428" s="12"/>
      <c r="M428" s="10"/>
      <c r="N428" s="14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customFormat="false" ht="15.75" hidden="false" customHeight="true" outlineLevel="0" collapsed="false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2"/>
      <c r="L429" s="12"/>
      <c r="M429" s="10"/>
      <c r="N429" s="14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customFormat="false" ht="15.75" hidden="false" customHeight="true" outlineLevel="0" collapsed="false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2"/>
      <c r="L430" s="12"/>
      <c r="M430" s="10"/>
      <c r="N430" s="14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customFormat="false" ht="15.75" hidden="false" customHeight="true" outlineLevel="0" collapsed="false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2"/>
      <c r="L431" s="12"/>
      <c r="M431" s="10"/>
      <c r="N431" s="14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customFormat="false" ht="15.75" hidden="false" customHeight="true" outlineLevel="0" collapsed="false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2"/>
      <c r="L432" s="12"/>
      <c r="M432" s="10"/>
      <c r="N432" s="14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customFormat="false" ht="15.75" hidden="false" customHeight="true" outlineLevel="0" collapsed="false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2"/>
      <c r="L433" s="12"/>
      <c r="M433" s="10"/>
      <c r="N433" s="14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customFormat="false" ht="15.75" hidden="false" customHeight="true" outlineLevel="0" collapsed="false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2"/>
      <c r="L434" s="12"/>
      <c r="M434" s="10"/>
      <c r="N434" s="14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customFormat="false" ht="15.75" hidden="false" customHeight="true" outlineLevel="0" collapsed="false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2"/>
      <c r="L435" s="12"/>
      <c r="M435" s="10"/>
      <c r="N435" s="14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customFormat="false" ht="15.75" hidden="false" customHeight="true" outlineLevel="0" collapsed="false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2"/>
      <c r="L436" s="12"/>
      <c r="M436" s="10"/>
      <c r="N436" s="14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customFormat="false" ht="15.75" hidden="false" customHeight="true" outlineLevel="0" collapsed="false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2"/>
      <c r="L437" s="12"/>
      <c r="M437" s="10"/>
      <c r="N437" s="14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customFormat="false" ht="15.75" hidden="false" customHeight="true" outlineLevel="0" collapsed="false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2"/>
      <c r="L438" s="12"/>
      <c r="M438" s="10"/>
      <c r="N438" s="14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customFormat="false" ht="15.75" hidden="false" customHeight="true" outlineLevel="0" collapsed="false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2"/>
      <c r="L439" s="12"/>
      <c r="M439" s="10"/>
      <c r="N439" s="14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customFormat="false" ht="15.75" hidden="false" customHeight="true" outlineLevel="0" collapsed="false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2"/>
      <c r="L440" s="12"/>
      <c r="M440" s="10"/>
      <c r="N440" s="14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customFormat="false" ht="15.75" hidden="false" customHeight="true" outlineLevel="0" collapsed="false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2"/>
      <c r="L441" s="12"/>
      <c r="M441" s="10"/>
      <c r="N441" s="14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customFormat="false" ht="15.75" hidden="false" customHeight="true" outlineLevel="0" collapsed="false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2"/>
      <c r="L442" s="12"/>
      <c r="M442" s="10"/>
      <c r="N442" s="14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customFormat="false" ht="15.75" hidden="false" customHeight="true" outlineLevel="0" collapsed="false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2"/>
      <c r="L443" s="12"/>
      <c r="M443" s="10"/>
      <c r="N443" s="14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customFormat="false" ht="15.75" hidden="false" customHeight="true" outlineLevel="0" collapsed="false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2"/>
      <c r="L444" s="12"/>
      <c r="M444" s="10"/>
      <c r="N444" s="14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customFormat="false" ht="15.75" hidden="false" customHeight="true" outlineLevel="0" collapsed="false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2"/>
      <c r="L445" s="12"/>
      <c r="M445" s="10"/>
      <c r="N445" s="14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customFormat="false" ht="15.75" hidden="false" customHeight="true" outlineLevel="0" collapsed="false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2"/>
      <c r="L446" s="12"/>
      <c r="M446" s="10"/>
      <c r="N446" s="14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customFormat="false" ht="15.75" hidden="false" customHeight="true" outlineLevel="0" collapsed="false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2"/>
      <c r="L447" s="12"/>
      <c r="M447" s="10"/>
      <c r="N447" s="14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customFormat="false" ht="15.75" hidden="false" customHeight="true" outlineLevel="0" collapsed="false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2"/>
      <c r="L448" s="12"/>
      <c r="M448" s="10"/>
      <c r="N448" s="14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customFormat="false" ht="15.75" hidden="false" customHeight="true" outlineLevel="0" collapsed="false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2"/>
      <c r="L449" s="12"/>
      <c r="M449" s="10"/>
      <c r="N449" s="14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customFormat="false" ht="15.75" hidden="false" customHeight="true" outlineLevel="0" collapsed="false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2"/>
      <c r="L450" s="12"/>
      <c r="M450" s="10"/>
      <c r="N450" s="14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customFormat="false" ht="15.75" hidden="false" customHeight="true" outlineLevel="0" collapsed="false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2"/>
      <c r="L451" s="12"/>
      <c r="M451" s="10"/>
      <c r="N451" s="14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customFormat="false" ht="15.75" hidden="false" customHeight="true" outlineLevel="0" collapsed="false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2"/>
      <c r="L452" s="12"/>
      <c r="M452" s="10"/>
      <c r="N452" s="14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customFormat="false" ht="15.75" hidden="false" customHeight="true" outlineLevel="0" collapsed="false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2"/>
      <c r="L453" s="12"/>
      <c r="M453" s="10"/>
      <c r="N453" s="14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customFormat="false" ht="15.75" hidden="false" customHeight="true" outlineLevel="0" collapsed="false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2"/>
      <c r="L454" s="12"/>
      <c r="M454" s="10"/>
      <c r="N454" s="14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customFormat="false" ht="15.75" hidden="false" customHeight="true" outlineLevel="0" collapsed="false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2"/>
      <c r="L455" s="12"/>
      <c r="M455" s="10"/>
      <c r="N455" s="14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customFormat="false" ht="15.75" hidden="false" customHeight="true" outlineLevel="0" collapsed="false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2"/>
      <c r="L456" s="12"/>
      <c r="M456" s="10"/>
      <c r="N456" s="14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customFormat="false" ht="15.75" hidden="false" customHeight="true" outlineLevel="0" collapsed="false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2"/>
      <c r="L457" s="12"/>
      <c r="M457" s="10"/>
      <c r="N457" s="14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customFormat="false" ht="15.75" hidden="false" customHeight="true" outlineLevel="0" collapsed="false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2"/>
      <c r="L458" s="12"/>
      <c r="M458" s="10"/>
      <c r="N458" s="14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customFormat="false" ht="15.75" hidden="false" customHeight="true" outlineLevel="0" collapsed="false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2"/>
      <c r="L459" s="12"/>
      <c r="M459" s="10"/>
      <c r="N459" s="14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customFormat="false" ht="15.75" hidden="false" customHeight="true" outlineLevel="0" collapsed="false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2"/>
      <c r="L460" s="12"/>
      <c r="M460" s="10"/>
      <c r="N460" s="14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customFormat="false" ht="15.75" hidden="false" customHeight="true" outlineLevel="0" collapsed="false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2"/>
      <c r="L461" s="12"/>
      <c r="M461" s="10"/>
      <c r="N461" s="14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customFormat="false" ht="15.75" hidden="false" customHeight="true" outlineLevel="0" collapsed="false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2"/>
      <c r="L462" s="12"/>
      <c r="M462" s="10"/>
      <c r="N462" s="14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customFormat="false" ht="15.75" hidden="false" customHeight="true" outlineLevel="0" collapsed="false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2"/>
      <c r="L463" s="12"/>
      <c r="M463" s="10"/>
      <c r="N463" s="14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customFormat="false" ht="15.75" hidden="false" customHeight="true" outlineLevel="0" collapsed="false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2"/>
      <c r="L464" s="12"/>
      <c r="M464" s="10"/>
      <c r="N464" s="14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customFormat="false" ht="15.75" hidden="false" customHeight="true" outlineLevel="0" collapsed="false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2"/>
      <c r="L465" s="12"/>
      <c r="M465" s="10"/>
      <c r="N465" s="14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customFormat="false" ht="15.75" hidden="false" customHeight="true" outlineLevel="0" collapsed="false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2"/>
      <c r="L466" s="12"/>
      <c r="M466" s="10"/>
      <c r="N466" s="14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customFormat="false" ht="15.75" hidden="false" customHeight="true" outlineLevel="0" collapsed="false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2"/>
      <c r="L467" s="12"/>
      <c r="M467" s="10"/>
      <c r="N467" s="14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customFormat="false" ht="15.75" hidden="false" customHeight="true" outlineLevel="0" collapsed="false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2"/>
      <c r="L468" s="12"/>
      <c r="M468" s="10"/>
      <c r="N468" s="14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customFormat="false" ht="15.75" hidden="false" customHeight="true" outlineLevel="0" collapsed="false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2"/>
      <c r="L469" s="12"/>
      <c r="M469" s="10"/>
      <c r="N469" s="14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customFormat="false" ht="15.75" hidden="false" customHeight="true" outlineLevel="0" collapsed="false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2"/>
      <c r="L470" s="12"/>
      <c r="M470" s="10"/>
      <c r="N470" s="14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customFormat="false" ht="15.75" hidden="false" customHeight="true" outlineLevel="0" collapsed="false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2"/>
      <c r="L471" s="12"/>
      <c r="M471" s="10"/>
      <c r="N471" s="14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customFormat="false" ht="15.75" hidden="false" customHeight="true" outlineLevel="0" collapsed="false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2"/>
      <c r="L472" s="12"/>
      <c r="M472" s="10"/>
      <c r="N472" s="14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customFormat="false" ht="15.75" hidden="false" customHeight="true" outlineLevel="0" collapsed="false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2"/>
      <c r="L473" s="12"/>
      <c r="M473" s="10"/>
      <c r="N473" s="14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customFormat="false" ht="15.75" hidden="false" customHeight="true" outlineLevel="0" collapsed="false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2"/>
      <c r="L474" s="12"/>
      <c r="M474" s="10"/>
      <c r="N474" s="14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customFormat="false" ht="15.75" hidden="false" customHeight="true" outlineLevel="0" collapsed="false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2"/>
      <c r="L475" s="12"/>
      <c r="M475" s="10"/>
      <c r="N475" s="14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customFormat="false" ht="15.75" hidden="false" customHeight="true" outlineLevel="0" collapsed="false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2"/>
      <c r="L476" s="12"/>
      <c r="M476" s="10"/>
      <c r="N476" s="14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customFormat="false" ht="15.75" hidden="false" customHeight="true" outlineLevel="0" collapsed="false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2"/>
      <c r="L477" s="12"/>
      <c r="M477" s="10"/>
      <c r="N477" s="14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customFormat="false" ht="15.75" hidden="false" customHeight="true" outlineLevel="0" collapsed="false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2"/>
      <c r="L478" s="12"/>
      <c r="M478" s="10"/>
      <c r="N478" s="14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customFormat="false" ht="15.75" hidden="false" customHeight="true" outlineLevel="0" collapsed="false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2"/>
      <c r="L479" s="12"/>
      <c r="M479" s="10"/>
      <c r="N479" s="14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customFormat="false" ht="15.75" hidden="false" customHeight="true" outlineLevel="0" collapsed="false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2"/>
      <c r="L480" s="12"/>
      <c r="M480" s="10"/>
      <c r="N480" s="14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customFormat="false" ht="15.75" hidden="false" customHeight="true" outlineLevel="0" collapsed="false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2"/>
      <c r="L481" s="12"/>
      <c r="M481" s="10"/>
      <c r="N481" s="14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customFormat="false" ht="15.75" hidden="false" customHeight="true" outlineLevel="0" collapsed="false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2"/>
      <c r="L482" s="12"/>
      <c r="M482" s="10"/>
      <c r="N482" s="14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customFormat="false" ht="15.75" hidden="false" customHeight="true" outlineLevel="0" collapsed="false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2"/>
      <c r="L483" s="12"/>
      <c r="M483" s="10"/>
      <c r="N483" s="14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customFormat="false" ht="15.75" hidden="false" customHeight="true" outlineLevel="0" collapsed="false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2"/>
      <c r="L484" s="12"/>
      <c r="M484" s="10"/>
      <c r="N484" s="14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customFormat="false" ht="15.75" hidden="false" customHeight="true" outlineLevel="0" collapsed="false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2"/>
      <c r="L485" s="12"/>
      <c r="M485" s="10"/>
      <c r="N485" s="14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customFormat="false" ht="15.75" hidden="false" customHeight="true" outlineLevel="0" collapsed="false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2"/>
      <c r="L486" s="12"/>
      <c r="M486" s="10"/>
      <c r="N486" s="14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customFormat="false" ht="15.75" hidden="false" customHeight="true" outlineLevel="0" collapsed="false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2"/>
      <c r="L487" s="12"/>
      <c r="M487" s="10"/>
      <c r="N487" s="14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customFormat="false" ht="15.75" hidden="false" customHeight="true" outlineLevel="0" collapsed="false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2"/>
      <c r="L488" s="12"/>
      <c r="M488" s="10"/>
      <c r="N488" s="14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customFormat="false" ht="15.75" hidden="false" customHeight="true" outlineLevel="0" collapsed="false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2"/>
      <c r="L489" s="12"/>
      <c r="M489" s="10"/>
      <c r="N489" s="14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customFormat="false" ht="15.75" hidden="false" customHeight="true" outlineLevel="0" collapsed="false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2"/>
      <c r="L490" s="12"/>
      <c r="M490" s="10"/>
      <c r="N490" s="14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customFormat="false" ht="15.75" hidden="false" customHeight="true" outlineLevel="0" collapsed="false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2"/>
      <c r="L491" s="12"/>
      <c r="M491" s="10"/>
      <c r="N491" s="14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customFormat="false" ht="15.75" hidden="false" customHeight="true" outlineLevel="0" collapsed="false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2"/>
      <c r="L492" s="12"/>
      <c r="M492" s="10"/>
      <c r="N492" s="14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customFormat="false" ht="15.75" hidden="false" customHeight="true" outlineLevel="0" collapsed="false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2"/>
      <c r="L493" s="12"/>
      <c r="M493" s="10"/>
      <c r="N493" s="14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customFormat="false" ht="15.75" hidden="false" customHeight="true" outlineLevel="0" collapsed="false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2"/>
      <c r="L494" s="12"/>
      <c r="M494" s="10"/>
      <c r="N494" s="14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customFormat="false" ht="15.75" hidden="false" customHeight="true" outlineLevel="0" collapsed="false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2"/>
      <c r="L495" s="12"/>
      <c r="M495" s="10"/>
      <c r="N495" s="14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customFormat="false" ht="15.75" hidden="false" customHeight="true" outlineLevel="0" collapsed="false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2"/>
      <c r="L496" s="12"/>
      <c r="M496" s="10"/>
      <c r="N496" s="14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customFormat="false" ht="15.75" hidden="false" customHeight="true" outlineLevel="0" collapsed="false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2"/>
      <c r="L497" s="12"/>
      <c r="M497" s="10"/>
      <c r="N497" s="14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customFormat="false" ht="15.75" hidden="false" customHeight="true" outlineLevel="0" collapsed="false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2"/>
      <c r="L498" s="12"/>
      <c r="M498" s="10"/>
      <c r="N498" s="14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customFormat="false" ht="15.75" hidden="false" customHeight="true" outlineLevel="0" collapsed="false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2"/>
      <c r="L499" s="12"/>
      <c r="M499" s="10"/>
      <c r="N499" s="14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customFormat="false" ht="15.75" hidden="false" customHeight="true" outlineLevel="0" collapsed="false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2"/>
      <c r="L500" s="12"/>
      <c r="M500" s="10"/>
      <c r="N500" s="14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customFormat="false" ht="15.75" hidden="false" customHeight="true" outlineLevel="0" collapsed="false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2"/>
      <c r="L501" s="12"/>
      <c r="M501" s="10"/>
      <c r="N501" s="14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customFormat="false" ht="15.75" hidden="false" customHeight="true" outlineLevel="0" collapsed="false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2"/>
      <c r="L502" s="12"/>
      <c r="M502" s="10"/>
      <c r="N502" s="14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customFormat="false" ht="15.75" hidden="false" customHeight="true" outlineLevel="0" collapsed="false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2"/>
      <c r="L503" s="12"/>
      <c r="M503" s="10"/>
      <c r="N503" s="14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customFormat="false" ht="15.75" hidden="false" customHeight="true" outlineLevel="0" collapsed="false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2"/>
      <c r="L504" s="12"/>
      <c r="M504" s="10"/>
      <c r="N504" s="14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customFormat="false" ht="15.75" hidden="false" customHeight="true" outlineLevel="0" collapsed="false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2"/>
      <c r="L505" s="12"/>
      <c r="M505" s="10"/>
      <c r="N505" s="14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customFormat="false" ht="15.75" hidden="false" customHeight="true" outlineLevel="0" collapsed="false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2"/>
      <c r="L506" s="12"/>
      <c r="M506" s="10"/>
      <c r="N506" s="14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customFormat="false" ht="15.75" hidden="false" customHeight="true" outlineLevel="0" collapsed="false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2"/>
      <c r="L507" s="12"/>
      <c r="M507" s="10"/>
      <c r="N507" s="14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customFormat="false" ht="15.75" hidden="false" customHeight="true" outlineLevel="0" collapsed="false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2"/>
      <c r="L508" s="12"/>
      <c r="M508" s="10"/>
      <c r="N508" s="14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customFormat="false" ht="15.75" hidden="false" customHeight="true" outlineLevel="0" collapsed="false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2"/>
      <c r="L509" s="12"/>
      <c r="M509" s="10"/>
      <c r="N509" s="14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customFormat="false" ht="15.75" hidden="false" customHeight="true" outlineLevel="0" collapsed="false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2"/>
      <c r="L510" s="12"/>
      <c r="M510" s="10"/>
      <c r="N510" s="14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customFormat="false" ht="15.75" hidden="false" customHeight="true" outlineLevel="0" collapsed="false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2"/>
      <c r="L511" s="12"/>
      <c r="M511" s="10"/>
      <c r="N511" s="14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customFormat="false" ht="15.75" hidden="false" customHeight="true" outlineLevel="0" collapsed="false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2"/>
      <c r="L512" s="12"/>
      <c r="M512" s="10"/>
      <c r="N512" s="14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customFormat="false" ht="15.75" hidden="false" customHeight="true" outlineLevel="0" collapsed="false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2"/>
      <c r="L513" s="12"/>
      <c r="M513" s="10"/>
      <c r="N513" s="14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customFormat="false" ht="15.75" hidden="false" customHeight="true" outlineLevel="0" collapsed="false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2"/>
      <c r="L514" s="12"/>
      <c r="M514" s="10"/>
      <c r="N514" s="14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customFormat="false" ht="15.75" hidden="false" customHeight="true" outlineLevel="0" collapsed="false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2"/>
      <c r="L515" s="12"/>
      <c r="M515" s="10"/>
      <c r="N515" s="14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customFormat="false" ht="15.75" hidden="false" customHeight="true" outlineLevel="0" collapsed="false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2"/>
      <c r="L516" s="12"/>
      <c r="M516" s="10"/>
      <c r="N516" s="14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customFormat="false" ht="15.75" hidden="false" customHeight="true" outlineLevel="0" collapsed="false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2"/>
      <c r="L517" s="12"/>
      <c r="M517" s="10"/>
      <c r="N517" s="14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customFormat="false" ht="15.75" hidden="false" customHeight="true" outlineLevel="0" collapsed="false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2"/>
      <c r="L518" s="12"/>
      <c r="M518" s="10"/>
      <c r="N518" s="14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customFormat="false" ht="15.75" hidden="false" customHeight="true" outlineLevel="0" collapsed="false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2"/>
      <c r="L519" s="12"/>
      <c r="M519" s="10"/>
      <c r="N519" s="14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customFormat="false" ht="15.75" hidden="false" customHeight="true" outlineLevel="0" collapsed="false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2"/>
      <c r="L520" s="12"/>
      <c r="M520" s="10"/>
      <c r="N520" s="14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customFormat="false" ht="15.75" hidden="false" customHeight="true" outlineLevel="0" collapsed="false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2"/>
      <c r="L521" s="12"/>
      <c r="M521" s="10"/>
      <c r="N521" s="14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customFormat="false" ht="15.75" hidden="false" customHeight="true" outlineLevel="0" collapsed="false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2"/>
      <c r="L522" s="12"/>
      <c r="M522" s="10"/>
      <c r="N522" s="14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customFormat="false" ht="15.75" hidden="false" customHeight="true" outlineLevel="0" collapsed="false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2"/>
      <c r="L523" s="12"/>
      <c r="M523" s="10"/>
      <c r="N523" s="14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customFormat="false" ht="15.75" hidden="false" customHeight="true" outlineLevel="0" collapsed="false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2"/>
      <c r="L524" s="12"/>
      <c r="M524" s="10"/>
      <c r="N524" s="14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customFormat="false" ht="15.75" hidden="false" customHeight="true" outlineLevel="0" collapsed="false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2"/>
      <c r="L525" s="12"/>
      <c r="M525" s="10"/>
      <c r="N525" s="14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customFormat="false" ht="15.75" hidden="false" customHeight="true" outlineLevel="0" collapsed="false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2"/>
      <c r="L526" s="12"/>
      <c r="M526" s="10"/>
      <c r="N526" s="14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customFormat="false" ht="15.75" hidden="false" customHeight="true" outlineLevel="0" collapsed="false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2"/>
      <c r="L527" s="12"/>
      <c r="M527" s="10"/>
      <c r="N527" s="14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customFormat="false" ht="15.75" hidden="false" customHeight="true" outlineLevel="0" collapsed="false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2"/>
      <c r="L528" s="12"/>
      <c r="M528" s="10"/>
      <c r="N528" s="14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customFormat="false" ht="15.75" hidden="false" customHeight="true" outlineLevel="0" collapsed="false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2"/>
      <c r="L529" s="12"/>
      <c r="M529" s="10"/>
      <c r="N529" s="14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customFormat="false" ht="15.75" hidden="false" customHeight="true" outlineLevel="0" collapsed="false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2"/>
      <c r="L530" s="12"/>
      <c r="M530" s="10"/>
      <c r="N530" s="14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customFormat="false" ht="15.75" hidden="false" customHeight="true" outlineLevel="0" collapsed="false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2"/>
      <c r="L531" s="12"/>
      <c r="M531" s="10"/>
      <c r="N531" s="14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customFormat="false" ht="15.75" hidden="false" customHeight="true" outlineLevel="0" collapsed="false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2"/>
      <c r="L532" s="12"/>
      <c r="M532" s="10"/>
      <c r="N532" s="14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customFormat="false" ht="15.75" hidden="false" customHeight="true" outlineLevel="0" collapsed="false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2"/>
      <c r="L533" s="12"/>
      <c r="M533" s="10"/>
      <c r="N533" s="14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customFormat="false" ht="15.75" hidden="false" customHeight="true" outlineLevel="0" collapsed="false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2"/>
      <c r="L534" s="12"/>
      <c r="M534" s="10"/>
      <c r="N534" s="14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customFormat="false" ht="15.75" hidden="false" customHeight="true" outlineLevel="0" collapsed="false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2"/>
      <c r="L535" s="12"/>
      <c r="M535" s="10"/>
      <c r="N535" s="14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customFormat="false" ht="15.75" hidden="false" customHeight="true" outlineLevel="0" collapsed="false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2"/>
      <c r="L536" s="12"/>
      <c r="M536" s="10"/>
      <c r="N536" s="14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customFormat="false" ht="15.75" hidden="false" customHeight="true" outlineLevel="0" collapsed="false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2"/>
      <c r="L537" s="12"/>
      <c r="M537" s="10"/>
      <c r="N537" s="14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customFormat="false" ht="15.75" hidden="false" customHeight="true" outlineLevel="0" collapsed="false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2"/>
      <c r="L538" s="12"/>
      <c r="M538" s="10"/>
      <c r="N538" s="14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customFormat="false" ht="15.75" hidden="false" customHeight="true" outlineLevel="0" collapsed="false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2"/>
      <c r="L539" s="12"/>
      <c r="M539" s="10"/>
      <c r="N539" s="14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customFormat="false" ht="15.75" hidden="false" customHeight="true" outlineLevel="0" collapsed="false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2"/>
      <c r="L540" s="12"/>
      <c r="M540" s="10"/>
      <c r="N540" s="14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customFormat="false" ht="15.75" hidden="false" customHeight="true" outlineLevel="0" collapsed="false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2"/>
      <c r="L541" s="12"/>
      <c r="M541" s="10"/>
      <c r="N541" s="14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customFormat="false" ht="15.75" hidden="false" customHeight="true" outlineLevel="0" collapsed="false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2"/>
      <c r="L542" s="12"/>
      <c r="M542" s="10"/>
      <c r="N542" s="14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customFormat="false" ht="15.75" hidden="false" customHeight="true" outlineLevel="0" collapsed="false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2"/>
      <c r="L543" s="12"/>
      <c r="M543" s="10"/>
      <c r="N543" s="14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customFormat="false" ht="15.75" hidden="false" customHeight="true" outlineLevel="0" collapsed="false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2"/>
      <c r="L544" s="12"/>
      <c r="M544" s="10"/>
      <c r="N544" s="14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customFormat="false" ht="15.75" hidden="false" customHeight="true" outlineLevel="0" collapsed="false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2"/>
      <c r="L545" s="12"/>
      <c r="M545" s="10"/>
      <c r="N545" s="14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customFormat="false" ht="15.75" hidden="false" customHeight="true" outlineLevel="0" collapsed="false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2"/>
      <c r="L546" s="12"/>
      <c r="M546" s="10"/>
      <c r="N546" s="14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customFormat="false" ht="15.75" hidden="false" customHeight="true" outlineLevel="0" collapsed="false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2"/>
      <c r="L547" s="12"/>
      <c r="M547" s="10"/>
      <c r="N547" s="14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customFormat="false" ht="15.75" hidden="false" customHeight="true" outlineLevel="0" collapsed="false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2"/>
      <c r="L548" s="12"/>
      <c r="M548" s="10"/>
      <c r="N548" s="14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customFormat="false" ht="15.75" hidden="false" customHeight="true" outlineLevel="0" collapsed="false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2"/>
      <c r="L549" s="12"/>
      <c r="M549" s="10"/>
      <c r="N549" s="14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customFormat="false" ht="15.75" hidden="false" customHeight="true" outlineLevel="0" collapsed="false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2"/>
      <c r="L550" s="12"/>
      <c r="M550" s="10"/>
      <c r="N550" s="14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customFormat="false" ht="15.75" hidden="false" customHeight="true" outlineLevel="0" collapsed="false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2"/>
      <c r="L551" s="12"/>
      <c r="M551" s="10"/>
      <c r="N551" s="14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customFormat="false" ht="15.75" hidden="false" customHeight="true" outlineLevel="0" collapsed="false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2"/>
      <c r="L552" s="12"/>
      <c r="M552" s="10"/>
      <c r="N552" s="14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customFormat="false" ht="15.75" hidden="false" customHeight="true" outlineLevel="0" collapsed="false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2"/>
      <c r="L553" s="12"/>
      <c r="M553" s="10"/>
      <c r="N553" s="14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customFormat="false" ht="15.75" hidden="false" customHeight="true" outlineLevel="0" collapsed="false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2"/>
      <c r="L554" s="12"/>
      <c r="M554" s="10"/>
      <c r="N554" s="14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customFormat="false" ht="15.75" hidden="false" customHeight="true" outlineLevel="0" collapsed="false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2"/>
      <c r="L555" s="12"/>
      <c r="M555" s="10"/>
      <c r="N555" s="14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customFormat="false" ht="15.75" hidden="false" customHeight="true" outlineLevel="0" collapsed="false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2"/>
      <c r="L556" s="12"/>
      <c r="M556" s="10"/>
      <c r="N556" s="14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customFormat="false" ht="15.75" hidden="false" customHeight="true" outlineLevel="0" collapsed="false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2"/>
      <c r="L557" s="12"/>
      <c r="M557" s="10"/>
      <c r="N557" s="14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customFormat="false" ht="15.75" hidden="false" customHeight="true" outlineLevel="0" collapsed="false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2"/>
      <c r="L558" s="12"/>
      <c r="M558" s="10"/>
      <c r="N558" s="14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customFormat="false" ht="15.75" hidden="false" customHeight="true" outlineLevel="0" collapsed="false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2"/>
      <c r="L559" s="12"/>
      <c r="M559" s="10"/>
      <c r="N559" s="14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customFormat="false" ht="15.75" hidden="false" customHeight="true" outlineLevel="0" collapsed="false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2"/>
      <c r="L560" s="12"/>
      <c r="M560" s="10"/>
      <c r="N560" s="14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customFormat="false" ht="15.75" hidden="false" customHeight="true" outlineLevel="0" collapsed="false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2"/>
      <c r="L561" s="12"/>
      <c r="M561" s="10"/>
      <c r="N561" s="14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customFormat="false" ht="15.75" hidden="false" customHeight="true" outlineLevel="0" collapsed="false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2"/>
      <c r="L562" s="12"/>
      <c r="M562" s="10"/>
      <c r="N562" s="14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customFormat="false" ht="15.75" hidden="false" customHeight="true" outlineLevel="0" collapsed="false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2"/>
      <c r="L563" s="12"/>
      <c r="M563" s="10"/>
      <c r="N563" s="14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customFormat="false" ht="15.75" hidden="false" customHeight="true" outlineLevel="0" collapsed="false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2"/>
      <c r="L564" s="12"/>
      <c r="M564" s="10"/>
      <c r="N564" s="14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customFormat="false" ht="15.75" hidden="false" customHeight="true" outlineLevel="0" collapsed="false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2"/>
      <c r="L565" s="12"/>
      <c r="M565" s="10"/>
      <c r="N565" s="14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customFormat="false" ht="15.75" hidden="false" customHeight="true" outlineLevel="0" collapsed="false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2"/>
      <c r="L566" s="12"/>
      <c r="M566" s="10"/>
      <c r="N566" s="14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customFormat="false" ht="15.75" hidden="false" customHeight="true" outlineLevel="0" collapsed="false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2"/>
      <c r="L567" s="12"/>
      <c r="M567" s="10"/>
      <c r="N567" s="14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customFormat="false" ht="15.75" hidden="false" customHeight="true" outlineLevel="0" collapsed="false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2"/>
      <c r="L568" s="12"/>
      <c r="M568" s="10"/>
      <c r="N568" s="14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customFormat="false" ht="15.75" hidden="false" customHeight="true" outlineLevel="0" collapsed="false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2"/>
      <c r="L569" s="12"/>
      <c r="M569" s="10"/>
      <c r="N569" s="14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customFormat="false" ht="15.75" hidden="false" customHeight="true" outlineLevel="0" collapsed="false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2"/>
      <c r="L570" s="12"/>
      <c r="M570" s="10"/>
      <c r="N570" s="14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customFormat="false" ht="15.75" hidden="false" customHeight="true" outlineLevel="0" collapsed="false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2"/>
      <c r="L571" s="12"/>
      <c r="M571" s="10"/>
      <c r="N571" s="14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customFormat="false" ht="15.75" hidden="false" customHeight="true" outlineLevel="0" collapsed="false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2"/>
      <c r="L572" s="12"/>
      <c r="M572" s="10"/>
      <c r="N572" s="14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customFormat="false" ht="15.75" hidden="false" customHeight="true" outlineLevel="0" collapsed="false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2"/>
      <c r="L573" s="12"/>
      <c r="M573" s="10"/>
      <c r="N573" s="14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customFormat="false" ht="15.75" hidden="false" customHeight="true" outlineLevel="0" collapsed="false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2"/>
      <c r="L574" s="12"/>
      <c r="M574" s="10"/>
      <c r="N574" s="14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customFormat="false" ht="15.75" hidden="false" customHeight="true" outlineLevel="0" collapsed="false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2"/>
      <c r="L575" s="12"/>
      <c r="M575" s="10"/>
      <c r="N575" s="14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customFormat="false" ht="15.75" hidden="false" customHeight="true" outlineLevel="0" collapsed="false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2"/>
      <c r="L576" s="12"/>
      <c r="M576" s="10"/>
      <c r="N576" s="14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customFormat="false" ht="15.75" hidden="false" customHeight="true" outlineLevel="0" collapsed="false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2"/>
      <c r="L577" s="12"/>
      <c r="M577" s="10"/>
      <c r="N577" s="14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customFormat="false" ht="15.75" hidden="false" customHeight="true" outlineLevel="0" collapsed="false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2"/>
      <c r="L578" s="12"/>
      <c r="M578" s="10"/>
      <c r="N578" s="14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customFormat="false" ht="15.75" hidden="false" customHeight="true" outlineLevel="0" collapsed="false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2"/>
      <c r="L579" s="12"/>
      <c r="M579" s="10"/>
      <c r="N579" s="14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customFormat="false" ht="15.75" hidden="false" customHeight="true" outlineLevel="0" collapsed="false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2"/>
      <c r="L580" s="12"/>
      <c r="M580" s="10"/>
      <c r="N580" s="14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customFormat="false" ht="15.75" hidden="false" customHeight="true" outlineLevel="0" collapsed="false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2"/>
      <c r="L581" s="12"/>
      <c r="M581" s="10"/>
      <c r="N581" s="14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customFormat="false" ht="15.75" hidden="false" customHeight="true" outlineLevel="0" collapsed="false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2"/>
      <c r="L582" s="12"/>
      <c r="M582" s="10"/>
      <c r="N582" s="14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customFormat="false" ht="15.75" hidden="false" customHeight="true" outlineLevel="0" collapsed="false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2"/>
      <c r="L583" s="12"/>
      <c r="M583" s="10"/>
      <c r="N583" s="14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customFormat="false" ht="15.75" hidden="false" customHeight="true" outlineLevel="0" collapsed="false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2"/>
      <c r="L584" s="12"/>
      <c r="M584" s="10"/>
      <c r="N584" s="14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customFormat="false" ht="15.75" hidden="false" customHeight="true" outlineLevel="0" collapsed="false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2"/>
      <c r="L585" s="12"/>
      <c r="M585" s="10"/>
      <c r="N585" s="14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customFormat="false" ht="15.75" hidden="false" customHeight="true" outlineLevel="0" collapsed="false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2"/>
      <c r="L586" s="12"/>
      <c r="M586" s="10"/>
      <c r="N586" s="14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customFormat="false" ht="15.75" hidden="false" customHeight="true" outlineLevel="0" collapsed="false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2"/>
      <c r="L587" s="12"/>
      <c r="M587" s="10"/>
      <c r="N587" s="14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customFormat="false" ht="15.75" hidden="false" customHeight="true" outlineLevel="0" collapsed="false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2"/>
      <c r="L588" s="12"/>
      <c r="M588" s="10"/>
      <c r="N588" s="14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customFormat="false" ht="15.75" hidden="false" customHeight="true" outlineLevel="0" collapsed="false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2"/>
      <c r="L589" s="12"/>
      <c r="M589" s="10"/>
      <c r="N589" s="14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customFormat="false" ht="15.75" hidden="false" customHeight="true" outlineLevel="0" collapsed="false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2"/>
      <c r="L590" s="12"/>
      <c r="M590" s="10"/>
      <c r="N590" s="14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customFormat="false" ht="15.75" hidden="false" customHeight="true" outlineLevel="0" collapsed="false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2"/>
      <c r="L591" s="12"/>
      <c r="M591" s="10"/>
      <c r="N591" s="14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customFormat="false" ht="15.75" hidden="false" customHeight="true" outlineLevel="0" collapsed="false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2"/>
      <c r="L592" s="12"/>
      <c r="M592" s="10"/>
      <c r="N592" s="14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customFormat="false" ht="15.75" hidden="false" customHeight="true" outlineLevel="0" collapsed="false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2"/>
      <c r="L593" s="12"/>
      <c r="M593" s="10"/>
      <c r="N593" s="14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customFormat="false" ht="15.75" hidden="false" customHeight="true" outlineLevel="0" collapsed="false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2"/>
      <c r="L594" s="12"/>
      <c r="M594" s="10"/>
      <c r="N594" s="14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customFormat="false" ht="15.75" hidden="false" customHeight="true" outlineLevel="0" collapsed="false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2"/>
      <c r="L595" s="12"/>
      <c r="M595" s="10"/>
      <c r="N595" s="14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customFormat="false" ht="15.75" hidden="false" customHeight="true" outlineLevel="0" collapsed="false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2"/>
      <c r="L596" s="12"/>
      <c r="M596" s="10"/>
      <c r="N596" s="14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customFormat="false" ht="15.75" hidden="false" customHeight="true" outlineLevel="0" collapsed="false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2"/>
      <c r="L597" s="12"/>
      <c r="M597" s="10"/>
      <c r="N597" s="14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customFormat="false" ht="15.75" hidden="false" customHeight="true" outlineLevel="0" collapsed="false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2"/>
      <c r="L598" s="12"/>
      <c r="M598" s="10"/>
      <c r="N598" s="14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customFormat="false" ht="15.75" hidden="false" customHeight="true" outlineLevel="0" collapsed="false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2"/>
      <c r="L599" s="12"/>
      <c r="M599" s="10"/>
      <c r="N599" s="14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customFormat="false" ht="15.75" hidden="false" customHeight="true" outlineLevel="0" collapsed="false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2"/>
      <c r="L600" s="12"/>
      <c r="M600" s="10"/>
      <c r="N600" s="14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customFormat="false" ht="15.75" hidden="false" customHeight="true" outlineLevel="0" collapsed="false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2"/>
      <c r="L601" s="12"/>
      <c r="M601" s="10"/>
      <c r="N601" s="14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customFormat="false" ht="15.75" hidden="false" customHeight="true" outlineLevel="0" collapsed="false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2"/>
      <c r="L602" s="12"/>
      <c r="M602" s="10"/>
      <c r="N602" s="14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customFormat="false" ht="15.75" hidden="false" customHeight="true" outlineLevel="0" collapsed="false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2"/>
      <c r="L603" s="12"/>
      <c r="M603" s="10"/>
      <c r="N603" s="14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customFormat="false" ht="15.75" hidden="false" customHeight="true" outlineLevel="0" collapsed="false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2"/>
      <c r="L604" s="12"/>
      <c r="M604" s="10"/>
      <c r="N604" s="14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customFormat="false" ht="15.75" hidden="false" customHeight="true" outlineLevel="0" collapsed="false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2"/>
      <c r="L605" s="12"/>
      <c r="M605" s="10"/>
      <c r="N605" s="14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customFormat="false" ht="15.75" hidden="false" customHeight="true" outlineLevel="0" collapsed="false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2"/>
      <c r="L606" s="12"/>
      <c r="M606" s="10"/>
      <c r="N606" s="14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customFormat="false" ht="15.75" hidden="false" customHeight="true" outlineLevel="0" collapsed="false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2"/>
      <c r="L607" s="12"/>
      <c r="M607" s="10"/>
      <c r="N607" s="14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customFormat="false" ht="15.75" hidden="false" customHeight="true" outlineLevel="0" collapsed="false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2"/>
      <c r="L608" s="12"/>
      <c r="M608" s="10"/>
      <c r="N608" s="14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customFormat="false" ht="15.75" hidden="false" customHeight="true" outlineLevel="0" collapsed="false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2"/>
      <c r="L609" s="12"/>
      <c r="M609" s="10"/>
      <c r="N609" s="14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customFormat="false" ht="15.75" hidden="false" customHeight="true" outlineLevel="0" collapsed="false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2"/>
      <c r="L610" s="12"/>
      <c r="M610" s="10"/>
      <c r="N610" s="14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customFormat="false" ht="15.75" hidden="false" customHeight="true" outlineLevel="0" collapsed="false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2"/>
      <c r="L611" s="12"/>
      <c r="M611" s="10"/>
      <c r="N611" s="14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customFormat="false" ht="15.75" hidden="false" customHeight="true" outlineLevel="0" collapsed="false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2"/>
      <c r="L612" s="12"/>
      <c r="M612" s="10"/>
      <c r="N612" s="14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customFormat="false" ht="15.75" hidden="false" customHeight="true" outlineLevel="0" collapsed="false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2"/>
      <c r="L613" s="12"/>
      <c r="M613" s="10"/>
      <c r="N613" s="14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customFormat="false" ht="15.75" hidden="false" customHeight="true" outlineLevel="0" collapsed="false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2"/>
      <c r="L614" s="12"/>
      <c r="M614" s="10"/>
      <c r="N614" s="14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customFormat="false" ht="15.75" hidden="false" customHeight="true" outlineLevel="0" collapsed="false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2"/>
      <c r="L615" s="12"/>
      <c r="M615" s="10"/>
      <c r="N615" s="14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customFormat="false" ht="15.75" hidden="false" customHeight="true" outlineLevel="0" collapsed="false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2"/>
      <c r="L616" s="12"/>
      <c r="M616" s="10"/>
      <c r="N616" s="14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customFormat="false" ht="15.75" hidden="false" customHeight="true" outlineLevel="0" collapsed="false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2"/>
      <c r="L617" s="12"/>
      <c r="M617" s="10"/>
      <c r="N617" s="14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customFormat="false" ht="15.75" hidden="false" customHeight="true" outlineLevel="0" collapsed="false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2"/>
      <c r="L618" s="12"/>
      <c r="M618" s="10"/>
      <c r="N618" s="14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customFormat="false" ht="15.75" hidden="false" customHeight="true" outlineLevel="0" collapsed="false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2"/>
      <c r="L619" s="12"/>
      <c r="M619" s="10"/>
      <c r="N619" s="14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customFormat="false" ht="15.75" hidden="false" customHeight="true" outlineLevel="0" collapsed="false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2"/>
      <c r="L620" s="12"/>
      <c r="M620" s="10"/>
      <c r="N620" s="14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customFormat="false" ht="15.75" hidden="false" customHeight="true" outlineLevel="0" collapsed="false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2"/>
      <c r="L621" s="12"/>
      <c r="M621" s="10"/>
      <c r="N621" s="14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customFormat="false" ht="15.75" hidden="false" customHeight="true" outlineLevel="0" collapsed="false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2"/>
      <c r="L622" s="12"/>
      <c r="M622" s="10"/>
      <c r="N622" s="14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customFormat="false" ht="15.75" hidden="false" customHeight="true" outlineLevel="0" collapsed="false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2"/>
      <c r="L623" s="12"/>
      <c r="M623" s="10"/>
      <c r="N623" s="14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customFormat="false" ht="15.75" hidden="false" customHeight="true" outlineLevel="0" collapsed="false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2"/>
      <c r="L624" s="12"/>
      <c r="M624" s="10"/>
      <c r="N624" s="14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customFormat="false" ht="15.75" hidden="false" customHeight="true" outlineLevel="0" collapsed="false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2"/>
      <c r="L625" s="12"/>
      <c r="M625" s="10"/>
      <c r="N625" s="14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customFormat="false" ht="15.75" hidden="false" customHeight="true" outlineLevel="0" collapsed="false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2"/>
      <c r="L626" s="12"/>
      <c r="M626" s="10"/>
      <c r="N626" s="14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customFormat="false" ht="15.75" hidden="false" customHeight="true" outlineLevel="0" collapsed="false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2"/>
      <c r="L627" s="12"/>
      <c r="M627" s="10"/>
      <c r="N627" s="14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customFormat="false" ht="15.75" hidden="false" customHeight="true" outlineLevel="0" collapsed="false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2"/>
      <c r="L628" s="12"/>
      <c r="M628" s="10"/>
      <c r="N628" s="14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customFormat="false" ht="15.75" hidden="false" customHeight="true" outlineLevel="0" collapsed="false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2"/>
      <c r="L629" s="12"/>
      <c r="M629" s="10"/>
      <c r="N629" s="14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customFormat="false" ht="15.75" hidden="false" customHeight="true" outlineLevel="0" collapsed="false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2"/>
      <c r="L630" s="12"/>
      <c r="M630" s="10"/>
      <c r="N630" s="14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customFormat="false" ht="15.75" hidden="false" customHeight="true" outlineLevel="0" collapsed="false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2"/>
      <c r="L631" s="12"/>
      <c r="M631" s="10"/>
      <c r="N631" s="14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customFormat="false" ht="15.75" hidden="false" customHeight="true" outlineLevel="0" collapsed="false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2"/>
      <c r="L632" s="12"/>
      <c r="M632" s="10"/>
      <c r="N632" s="14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customFormat="false" ht="15.75" hidden="false" customHeight="true" outlineLevel="0" collapsed="false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2"/>
      <c r="L633" s="12"/>
      <c r="M633" s="10"/>
      <c r="N633" s="14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customFormat="false" ht="15.75" hidden="false" customHeight="true" outlineLevel="0" collapsed="false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2"/>
      <c r="L634" s="12"/>
      <c r="M634" s="10"/>
      <c r="N634" s="14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customFormat="false" ht="15.75" hidden="false" customHeight="true" outlineLevel="0" collapsed="false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2"/>
      <c r="L635" s="12"/>
      <c r="M635" s="10"/>
      <c r="N635" s="14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customFormat="false" ht="15.75" hidden="false" customHeight="true" outlineLevel="0" collapsed="false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2"/>
      <c r="L636" s="12"/>
      <c r="M636" s="10"/>
      <c r="N636" s="14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customFormat="false" ht="15.75" hidden="false" customHeight="true" outlineLevel="0" collapsed="false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2"/>
      <c r="L637" s="12"/>
      <c r="M637" s="10"/>
      <c r="N637" s="14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customFormat="false" ht="15.75" hidden="false" customHeight="true" outlineLevel="0" collapsed="false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2"/>
      <c r="L638" s="12"/>
      <c r="M638" s="10"/>
      <c r="N638" s="14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customFormat="false" ht="15.75" hidden="false" customHeight="true" outlineLevel="0" collapsed="false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2"/>
      <c r="L639" s="12"/>
      <c r="M639" s="10"/>
      <c r="N639" s="14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customFormat="false" ht="15.75" hidden="false" customHeight="true" outlineLevel="0" collapsed="false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2"/>
      <c r="L640" s="12"/>
      <c r="M640" s="10"/>
      <c r="N640" s="14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customFormat="false" ht="15.75" hidden="false" customHeight="true" outlineLevel="0" collapsed="false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2"/>
      <c r="L641" s="12"/>
      <c r="M641" s="10"/>
      <c r="N641" s="14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customFormat="false" ht="15.75" hidden="false" customHeight="true" outlineLevel="0" collapsed="false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2"/>
      <c r="L642" s="12"/>
      <c r="M642" s="10"/>
      <c r="N642" s="14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customFormat="false" ht="15.75" hidden="false" customHeight="true" outlineLevel="0" collapsed="false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2"/>
      <c r="L643" s="12"/>
      <c r="M643" s="10"/>
      <c r="N643" s="14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customFormat="false" ht="15.75" hidden="false" customHeight="true" outlineLevel="0" collapsed="false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2"/>
      <c r="L644" s="12"/>
      <c r="M644" s="10"/>
      <c r="N644" s="14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customFormat="false" ht="15.75" hidden="false" customHeight="true" outlineLevel="0" collapsed="false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2"/>
      <c r="L645" s="12"/>
      <c r="M645" s="10"/>
      <c r="N645" s="14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customFormat="false" ht="15.75" hidden="false" customHeight="true" outlineLevel="0" collapsed="false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2"/>
      <c r="L646" s="12"/>
      <c r="M646" s="10"/>
      <c r="N646" s="14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customFormat="false" ht="15.75" hidden="false" customHeight="true" outlineLevel="0" collapsed="false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2"/>
      <c r="L647" s="12"/>
      <c r="M647" s="10"/>
      <c r="N647" s="14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customFormat="false" ht="15.75" hidden="false" customHeight="true" outlineLevel="0" collapsed="false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2"/>
      <c r="L648" s="12"/>
      <c r="M648" s="10"/>
      <c r="N648" s="14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customFormat="false" ht="15.75" hidden="false" customHeight="true" outlineLevel="0" collapsed="false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2"/>
      <c r="L649" s="12"/>
      <c r="M649" s="10"/>
      <c r="N649" s="14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customFormat="false" ht="15.75" hidden="false" customHeight="true" outlineLevel="0" collapsed="false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2"/>
      <c r="L650" s="12"/>
      <c r="M650" s="10"/>
      <c r="N650" s="14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customFormat="false" ht="15.75" hidden="false" customHeight="true" outlineLevel="0" collapsed="false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2"/>
      <c r="L651" s="12"/>
      <c r="M651" s="10"/>
      <c r="N651" s="14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customFormat="false" ht="15.75" hidden="false" customHeight="true" outlineLevel="0" collapsed="false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2"/>
      <c r="L652" s="12"/>
      <c r="M652" s="10"/>
      <c r="N652" s="14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customFormat="false" ht="15.75" hidden="false" customHeight="true" outlineLevel="0" collapsed="false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2"/>
      <c r="L653" s="12"/>
      <c r="M653" s="10"/>
      <c r="N653" s="14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customFormat="false" ht="15.75" hidden="false" customHeight="true" outlineLevel="0" collapsed="false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2"/>
      <c r="L654" s="12"/>
      <c r="M654" s="10"/>
      <c r="N654" s="14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customFormat="false" ht="15.75" hidden="false" customHeight="true" outlineLevel="0" collapsed="false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2"/>
      <c r="L655" s="12"/>
      <c r="M655" s="10"/>
      <c r="N655" s="14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customFormat="false" ht="15.75" hidden="false" customHeight="true" outlineLevel="0" collapsed="false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2"/>
      <c r="L656" s="12"/>
      <c r="M656" s="10"/>
      <c r="N656" s="14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customFormat="false" ht="15.75" hidden="false" customHeight="true" outlineLevel="0" collapsed="false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2"/>
      <c r="L657" s="12"/>
      <c r="M657" s="10"/>
      <c r="N657" s="14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customFormat="false" ht="15.75" hidden="false" customHeight="true" outlineLevel="0" collapsed="false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2"/>
      <c r="L658" s="12"/>
      <c r="M658" s="10"/>
      <c r="N658" s="14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customFormat="false" ht="15.75" hidden="false" customHeight="true" outlineLevel="0" collapsed="false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2"/>
      <c r="L659" s="12"/>
      <c r="M659" s="10"/>
      <c r="N659" s="14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customFormat="false" ht="15.75" hidden="false" customHeight="true" outlineLevel="0" collapsed="false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2"/>
      <c r="L660" s="12"/>
      <c r="M660" s="10"/>
      <c r="N660" s="14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customFormat="false" ht="15.75" hidden="false" customHeight="true" outlineLevel="0" collapsed="false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2"/>
      <c r="L661" s="12"/>
      <c r="M661" s="10"/>
      <c r="N661" s="14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customFormat="false" ht="15.75" hidden="false" customHeight="true" outlineLevel="0" collapsed="false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2"/>
      <c r="L662" s="12"/>
      <c r="M662" s="10"/>
      <c r="N662" s="14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customFormat="false" ht="15.75" hidden="false" customHeight="true" outlineLevel="0" collapsed="false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2"/>
      <c r="L663" s="12"/>
      <c r="M663" s="10"/>
      <c r="N663" s="14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customFormat="false" ht="15.75" hidden="false" customHeight="true" outlineLevel="0" collapsed="false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2"/>
      <c r="L664" s="12"/>
      <c r="M664" s="10"/>
      <c r="N664" s="14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customFormat="false" ht="15.75" hidden="false" customHeight="true" outlineLevel="0" collapsed="false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2"/>
      <c r="L665" s="12"/>
      <c r="M665" s="10"/>
      <c r="N665" s="14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customFormat="false" ht="15.75" hidden="false" customHeight="true" outlineLevel="0" collapsed="false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2"/>
      <c r="L666" s="12"/>
      <c r="M666" s="10"/>
      <c r="N666" s="14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customFormat="false" ht="15.75" hidden="false" customHeight="true" outlineLevel="0" collapsed="false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2"/>
      <c r="L667" s="12"/>
      <c r="M667" s="10"/>
      <c r="N667" s="14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customFormat="false" ht="15.75" hidden="false" customHeight="true" outlineLevel="0" collapsed="false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2"/>
      <c r="L668" s="12"/>
      <c r="M668" s="10"/>
      <c r="N668" s="14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customFormat="false" ht="15.75" hidden="false" customHeight="true" outlineLevel="0" collapsed="false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2"/>
      <c r="L669" s="12"/>
      <c r="M669" s="10"/>
      <c r="N669" s="14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customFormat="false" ht="15.75" hidden="false" customHeight="true" outlineLevel="0" collapsed="false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2"/>
      <c r="L670" s="12"/>
      <c r="M670" s="10"/>
      <c r="N670" s="14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customFormat="false" ht="15.75" hidden="false" customHeight="true" outlineLevel="0" collapsed="false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2"/>
      <c r="L671" s="12"/>
      <c r="M671" s="10"/>
      <c r="N671" s="14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customFormat="false" ht="15.75" hidden="false" customHeight="true" outlineLevel="0" collapsed="false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2"/>
      <c r="L672" s="12"/>
      <c r="M672" s="10"/>
      <c r="N672" s="14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customFormat="false" ht="15.75" hidden="false" customHeight="true" outlineLevel="0" collapsed="false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2"/>
      <c r="L673" s="12"/>
      <c r="M673" s="10"/>
      <c r="N673" s="14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customFormat="false" ht="15.75" hidden="false" customHeight="true" outlineLevel="0" collapsed="false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2"/>
      <c r="L674" s="12"/>
      <c r="M674" s="10"/>
      <c r="N674" s="14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customFormat="false" ht="15.75" hidden="false" customHeight="true" outlineLevel="0" collapsed="false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2"/>
      <c r="L675" s="12"/>
      <c r="M675" s="10"/>
      <c r="N675" s="14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customFormat="false" ht="15.75" hidden="false" customHeight="true" outlineLevel="0" collapsed="false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2"/>
      <c r="L676" s="12"/>
      <c r="M676" s="10"/>
      <c r="N676" s="14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customFormat="false" ht="15.75" hidden="false" customHeight="true" outlineLevel="0" collapsed="false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2"/>
      <c r="L677" s="12"/>
      <c r="M677" s="10"/>
      <c r="N677" s="14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customFormat="false" ht="15.75" hidden="false" customHeight="true" outlineLevel="0" collapsed="false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2"/>
      <c r="L678" s="12"/>
      <c r="M678" s="10"/>
      <c r="N678" s="14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customFormat="false" ht="15.75" hidden="false" customHeight="true" outlineLevel="0" collapsed="false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2"/>
      <c r="L679" s="12"/>
      <c r="M679" s="10"/>
      <c r="N679" s="14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customFormat="false" ht="15.75" hidden="false" customHeight="true" outlineLevel="0" collapsed="false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2"/>
      <c r="L680" s="12"/>
      <c r="M680" s="10"/>
      <c r="N680" s="14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customFormat="false" ht="15.75" hidden="false" customHeight="true" outlineLevel="0" collapsed="false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2"/>
      <c r="L681" s="12"/>
      <c r="M681" s="10"/>
      <c r="N681" s="14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customFormat="false" ht="15.75" hidden="false" customHeight="true" outlineLevel="0" collapsed="false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2"/>
      <c r="L682" s="12"/>
      <c r="M682" s="10"/>
      <c r="N682" s="14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customFormat="false" ht="15.75" hidden="false" customHeight="true" outlineLevel="0" collapsed="false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2"/>
      <c r="L683" s="12"/>
      <c r="M683" s="10"/>
      <c r="N683" s="14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customFormat="false" ht="15.75" hidden="false" customHeight="true" outlineLevel="0" collapsed="false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2"/>
      <c r="L684" s="12"/>
      <c r="M684" s="10"/>
      <c r="N684" s="14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customFormat="false" ht="15.75" hidden="false" customHeight="true" outlineLevel="0" collapsed="false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2"/>
      <c r="L685" s="12"/>
      <c r="M685" s="10"/>
      <c r="N685" s="14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customFormat="false" ht="15.75" hidden="false" customHeight="true" outlineLevel="0" collapsed="false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2"/>
      <c r="L686" s="12"/>
      <c r="M686" s="10"/>
      <c r="N686" s="14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customFormat="false" ht="15.75" hidden="false" customHeight="true" outlineLevel="0" collapsed="false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2"/>
      <c r="L687" s="12"/>
      <c r="M687" s="10"/>
      <c r="N687" s="14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customFormat="false" ht="15.75" hidden="false" customHeight="true" outlineLevel="0" collapsed="false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2"/>
      <c r="L688" s="12"/>
      <c r="M688" s="10"/>
      <c r="N688" s="14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customFormat="false" ht="15.75" hidden="false" customHeight="true" outlineLevel="0" collapsed="false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2"/>
      <c r="L689" s="12"/>
      <c r="M689" s="10"/>
      <c r="N689" s="14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customFormat="false" ht="15.75" hidden="false" customHeight="true" outlineLevel="0" collapsed="false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2"/>
      <c r="L690" s="12"/>
      <c r="M690" s="10"/>
      <c r="N690" s="14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customFormat="false" ht="15.75" hidden="false" customHeight="true" outlineLevel="0" collapsed="false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2"/>
      <c r="L691" s="12"/>
      <c r="M691" s="10"/>
      <c r="N691" s="14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customFormat="false" ht="15.75" hidden="false" customHeight="true" outlineLevel="0" collapsed="false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2"/>
      <c r="L692" s="12"/>
      <c r="M692" s="10"/>
      <c r="N692" s="14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customFormat="false" ht="15.75" hidden="false" customHeight="true" outlineLevel="0" collapsed="false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2"/>
      <c r="L693" s="12"/>
      <c r="M693" s="10"/>
      <c r="N693" s="14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customFormat="false" ht="15.75" hidden="false" customHeight="true" outlineLevel="0" collapsed="false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2"/>
      <c r="L694" s="12"/>
      <c r="M694" s="10"/>
      <c r="N694" s="14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customFormat="false" ht="15.75" hidden="false" customHeight="true" outlineLevel="0" collapsed="false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2"/>
      <c r="L695" s="12"/>
      <c r="M695" s="10"/>
      <c r="N695" s="14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customFormat="false" ht="15.75" hidden="false" customHeight="true" outlineLevel="0" collapsed="false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2"/>
      <c r="L696" s="12"/>
      <c r="M696" s="10"/>
      <c r="N696" s="14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customFormat="false" ht="15.75" hidden="false" customHeight="true" outlineLevel="0" collapsed="false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2"/>
      <c r="L697" s="12"/>
      <c r="M697" s="10"/>
      <c r="N697" s="14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customFormat="false" ht="15.75" hidden="false" customHeight="true" outlineLevel="0" collapsed="false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2"/>
      <c r="L698" s="12"/>
      <c r="M698" s="10"/>
      <c r="N698" s="14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customFormat="false" ht="15.75" hidden="false" customHeight="true" outlineLevel="0" collapsed="false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2"/>
      <c r="L699" s="12"/>
      <c r="M699" s="10"/>
      <c r="N699" s="14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customFormat="false" ht="15.75" hidden="false" customHeight="true" outlineLevel="0" collapsed="false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2"/>
      <c r="L700" s="12"/>
      <c r="M700" s="10"/>
      <c r="N700" s="14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customFormat="false" ht="15.75" hidden="false" customHeight="true" outlineLevel="0" collapsed="false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2"/>
      <c r="L701" s="12"/>
      <c r="M701" s="10"/>
      <c r="N701" s="14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customFormat="false" ht="15.75" hidden="false" customHeight="true" outlineLevel="0" collapsed="false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2"/>
      <c r="L702" s="12"/>
      <c r="M702" s="10"/>
      <c r="N702" s="14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customFormat="false" ht="15.75" hidden="false" customHeight="true" outlineLevel="0" collapsed="false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2"/>
      <c r="L703" s="12"/>
      <c r="M703" s="10"/>
      <c r="N703" s="14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customFormat="false" ht="15.75" hidden="false" customHeight="true" outlineLevel="0" collapsed="false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2"/>
      <c r="L704" s="12"/>
      <c r="M704" s="10"/>
      <c r="N704" s="14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customFormat="false" ht="15.75" hidden="false" customHeight="true" outlineLevel="0" collapsed="false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2"/>
      <c r="L705" s="12"/>
      <c r="M705" s="10"/>
      <c r="N705" s="14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customFormat="false" ht="15.75" hidden="false" customHeight="true" outlineLevel="0" collapsed="false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2"/>
      <c r="L706" s="12"/>
      <c r="M706" s="10"/>
      <c r="N706" s="14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customFormat="false" ht="15.75" hidden="false" customHeight="true" outlineLevel="0" collapsed="false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2"/>
      <c r="L707" s="12"/>
      <c r="M707" s="10"/>
      <c r="N707" s="14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customFormat="false" ht="15.75" hidden="false" customHeight="true" outlineLevel="0" collapsed="false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2"/>
      <c r="L708" s="12"/>
      <c r="M708" s="10"/>
      <c r="N708" s="14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customFormat="false" ht="15.75" hidden="false" customHeight="true" outlineLevel="0" collapsed="false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2"/>
      <c r="L709" s="12"/>
      <c r="M709" s="10"/>
      <c r="N709" s="14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customFormat="false" ht="15.75" hidden="false" customHeight="true" outlineLevel="0" collapsed="false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2"/>
      <c r="L710" s="12"/>
      <c r="M710" s="10"/>
      <c r="N710" s="14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customFormat="false" ht="15.75" hidden="false" customHeight="true" outlineLevel="0" collapsed="false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2"/>
      <c r="L711" s="12"/>
      <c r="M711" s="10"/>
      <c r="N711" s="14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customFormat="false" ht="15.75" hidden="false" customHeight="true" outlineLevel="0" collapsed="false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2"/>
      <c r="L712" s="12"/>
      <c r="M712" s="10"/>
      <c r="N712" s="14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customFormat="false" ht="15.75" hidden="false" customHeight="true" outlineLevel="0" collapsed="false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2"/>
      <c r="L713" s="12"/>
      <c r="M713" s="10"/>
      <c r="N713" s="14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customFormat="false" ht="15.75" hidden="false" customHeight="true" outlineLevel="0" collapsed="false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2"/>
      <c r="L714" s="12"/>
      <c r="M714" s="10"/>
      <c r="N714" s="14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customFormat="false" ht="15.75" hidden="false" customHeight="true" outlineLevel="0" collapsed="false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2"/>
      <c r="L715" s="12"/>
      <c r="M715" s="10"/>
      <c r="N715" s="14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customFormat="false" ht="15.75" hidden="false" customHeight="true" outlineLevel="0" collapsed="false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2"/>
      <c r="L716" s="12"/>
      <c r="M716" s="10"/>
      <c r="N716" s="14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customFormat="false" ht="15.75" hidden="false" customHeight="true" outlineLevel="0" collapsed="false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2"/>
      <c r="L717" s="12"/>
      <c r="M717" s="10"/>
      <c r="N717" s="14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customFormat="false" ht="15.75" hidden="false" customHeight="true" outlineLevel="0" collapsed="false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2"/>
      <c r="L718" s="12"/>
      <c r="M718" s="10"/>
      <c r="N718" s="14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customFormat="false" ht="15.75" hidden="false" customHeight="true" outlineLevel="0" collapsed="false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2"/>
      <c r="L719" s="12"/>
      <c r="M719" s="10"/>
      <c r="N719" s="14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customFormat="false" ht="15.75" hidden="false" customHeight="true" outlineLevel="0" collapsed="false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2"/>
      <c r="L720" s="12"/>
      <c r="M720" s="10"/>
      <c r="N720" s="14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customFormat="false" ht="15.75" hidden="false" customHeight="true" outlineLevel="0" collapsed="false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2"/>
      <c r="L721" s="12"/>
      <c r="M721" s="10"/>
      <c r="N721" s="14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customFormat="false" ht="15.75" hidden="false" customHeight="true" outlineLevel="0" collapsed="false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2"/>
      <c r="L722" s="12"/>
      <c r="M722" s="10"/>
      <c r="N722" s="14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customFormat="false" ht="15.75" hidden="false" customHeight="true" outlineLevel="0" collapsed="false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2"/>
      <c r="L723" s="12"/>
      <c r="M723" s="10"/>
      <c r="N723" s="14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customFormat="false" ht="15.75" hidden="false" customHeight="true" outlineLevel="0" collapsed="false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2"/>
      <c r="L724" s="12"/>
      <c r="M724" s="10"/>
      <c r="N724" s="14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customFormat="false" ht="15.75" hidden="false" customHeight="true" outlineLevel="0" collapsed="false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2"/>
      <c r="L725" s="12"/>
      <c r="M725" s="10"/>
      <c r="N725" s="14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customFormat="false" ht="15.75" hidden="false" customHeight="true" outlineLevel="0" collapsed="false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2"/>
      <c r="L726" s="12"/>
      <c r="M726" s="10"/>
      <c r="N726" s="14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customFormat="false" ht="15.75" hidden="false" customHeight="true" outlineLevel="0" collapsed="false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2"/>
      <c r="L727" s="12"/>
      <c r="M727" s="10"/>
      <c r="N727" s="14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customFormat="false" ht="15.75" hidden="false" customHeight="true" outlineLevel="0" collapsed="false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2"/>
      <c r="L728" s="12"/>
      <c r="M728" s="10"/>
      <c r="N728" s="14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customFormat="false" ht="15.75" hidden="false" customHeight="true" outlineLevel="0" collapsed="false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2"/>
      <c r="L729" s="12"/>
      <c r="M729" s="10"/>
      <c r="N729" s="14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customFormat="false" ht="15.75" hidden="false" customHeight="true" outlineLevel="0" collapsed="false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2"/>
      <c r="L730" s="12"/>
      <c r="M730" s="10"/>
      <c r="N730" s="14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customFormat="false" ht="15.75" hidden="false" customHeight="true" outlineLevel="0" collapsed="false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2"/>
      <c r="L731" s="12"/>
      <c r="M731" s="10"/>
      <c r="N731" s="14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customFormat="false" ht="15.75" hidden="false" customHeight="true" outlineLevel="0" collapsed="false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2"/>
      <c r="L732" s="12"/>
      <c r="M732" s="10"/>
      <c r="N732" s="14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customFormat="false" ht="15.75" hidden="false" customHeight="true" outlineLevel="0" collapsed="false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2"/>
      <c r="L733" s="12"/>
      <c r="M733" s="10"/>
      <c r="N733" s="14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customFormat="false" ht="15.75" hidden="false" customHeight="true" outlineLevel="0" collapsed="false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2"/>
      <c r="L734" s="12"/>
      <c r="M734" s="10"/>
      <c r="N734" s="14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customFormat="false" ht="15.75" hidden="false" customHeight="true" outlineLevel="0" collapsed="false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2"/>
      <c r="L735" s="12"/>
      <c r="M735" s="10"/>
      <c r="N735" s="14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customFormat="false" ht="15.75" hidden="false" customHeight="true" outlineLevel="0" collapsed="false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2"/>
      <c r="L736" s="12"/>
      <c r="M736" s="10"/>
      <c r="N736" s="14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customFormat="false" ht="15.75" hidden="false" customHeight="true" outlineLevel="0" collapsed="false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2"/>
      <c r="L737" s="12"/>
      <c r="M737" s="10"/>
      <c r="N737" s="14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customFormat="false" ht="15.75" hidden="false" customHeight="true" outlineLevel="0" collapsed="false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2"/>
      <c r="L738" s="12"/>
      <c r="M738" s="10"/>
      <c r="N738" s="14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customFormat="false" ht="15.75" hidden="false" customHeight="true" outlineLevel="0" collapsed="false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2"/>
      <c r="L739" s="12"/>
      <c r="M739" s="10"/>
      <c r="N739" s="14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customFormat="false" ht="15.75" hidden="false" customHeight="true" outlineLevel="0" collapsed="false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2"/>
      <c r="L740" s="12"/>
      <c r="M740" s="10"/>
      <c r="N740" s="14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customFormat="false" ht="15.75" hidden="false" customHeight="true" outlineLevel="0" collapsed="false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2"/>
      <c r="L741" s="12"/>
      <c r="M741" s="10"/>
      <c r="N741" s="14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customFormat="false" ht="15.75" hidden="false" customHeight="true" outlineLevel="0" collapsed="false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2"/>
      <c r="L742" s="12"/>
      <c r="M742" s="10"/>
      <c r="N742" s="14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customFormat="false" ht="15.75" hidden="false" customHeight="true" outlineLevel="0" collapsed="false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2"/>
      <c r="L743" s="12"/>
      <c r="M743" s="10"/>
      <c r="N743" s="14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customFormat="false" ht="15.75" hidden="false" customHeight="true" outlineLevel="0" collapsed="false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2"/>
      <c r="L744" s="12"/>
      <c r="M744" s="10"/>
      <c r="N744" s="14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customFormat="false" ht="15.75" hidden="false" customHeight="true" outlineLevel="0" collapsed="false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2"/>
      <c r="L745" s="12"/>
      <c r="M745" s="10"/>
      <c r="N745" s="14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customFormat="false" ht="15.75" hidden="false" customHeight="true" outlineLevel="0" collapsed="false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2"/>
      <c r="L746" s="12"/>
      <c r="M746" s="10"/>
      <c r="N746" s="14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customFormat="false" ht="15.75" hidden="false" customHeight="true" outlineLevel="0" collapsed="false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2"/>
      <c r="L747" s="12"/>
      <c r="M747" s="10"/>
      <c r="N747" s="14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customFormat="false" ht="15.75" hidden="false" customHeight="true" outlineLevel="0" collapsed="false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2"/>
      <c r="L748" s="12"/>
      <c r="M748" s="10"/>
      <c r="N748" s="14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customFormat="false" ht="15.75" hidden="false" customHeight="true" outlineLevel="0" collapsed="false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2"/>
      <c r="L749" s="12"/>
      <c r="M749" s="10"/>
      <c r="N749" s="14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customFormat="false" ht="15.75" hidden="false" customHeight="true" outlineLevel="0" collapsed="false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2"/>
      <c r="L750" s="12"/>
      <c r="M750" s="10"/>
      <c r="N750" s="14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customFormat="false" ht="15.75" hidden="false" customHeight="true" outlineLevel="0" collapsed="false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2"/>
      <c r="L751" s="12"/>
      <c r="M751" s="10"/>
      <c r="N751" s="14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customFormat="false" ht="15.75" hidden="false" customHeight="true" outlineLevel="0" collapsed="false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2"/>
      <c r="L752" s="12"/>
      <c r="M752" s="10"/>
      <c r="N752" s="14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customFormat="false" ht="15.75" hidden="false" customHeight="true" outlineLevel="0" collapsed="false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2"/>
      <c r="L753" s="12"/>
      <c r="M753" s="10"/>
      <c r="N753" s="14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customFormat="false" ht="15.75" hidden="false" customHeight="true" outlineLevel="0" collapsed="false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2"/>
      <c r="L754" s="12"/>
      <c r="M754" s="10"/>
      <c r="N754" s="14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customFormat="false" ht="15.75" hidden="false" customHeight="true" outlineLevel="0" collapsed="false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2"/>
      <c r="L755" s="12"/>
      <c r="M755" s="10"/>
      <c r="N755" s="14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customFormat="false" ht="15.75" hidden="false" customHeight="true" outlineLevel="0" collapsed="false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2"/>
      <c r="L756" s="12"/>
      <c r="M756" s="10"/>
      <c r="N756" s="14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customFormat="false" ht="15.75" hidden="false" customHeight="true" outlineLevel="0" collapsed="false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2"/>
      <c r="L757" s="12"/>
      <c r="M757" s="10"/>
      <c r="N757" s="14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customFormat="false" ht="15.75" hidden="false" customHeight="true" outlineLevel="0" collapsed="false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2"/>
      <c r="L758" s="12"/>
      <c r="M758" s="10"/>
      <c r="N758" s="14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customFormat="false" ht="15.75" hidden="false" customHeight="true" outlineLevel="0" collapsed="false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2"/>
      <c r="L759" s="12"/>
      <c r="M759" s="10"/>
      <c r="N759" s="14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customFormat="false" ht="15.75" hidden="false" customHeight="true" outlineLevel="0" collapsed="false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2"/>
      <c r="L760" s="12"/>
      <c r="M760" s="10"/>
      <c r="N760" s="14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customFormat="false" ht="15.75" hidden="false" customHeight="true" outlineLevel="0" collapsed="false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2"/>
      <c r="L761" s="12"/>
      <c r="M761" s="10"/>
      <c r="N761" s="14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customFormat="false" ht="15.75" hidden="false" customHeight="true" outlineLevel="0" collapsed="false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2"/>
      <c r="L762" s="12"/>
      <c r="M762" s="10"/>
      <c r="N762" s="14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customFormat="false" ht="15.75" hidden="false" customHeight="true" outlineLevel="0" collapsed="false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2"/>
      <c r="L763" s="12"/>
      <c r="M763" s="10"/>
      <c r="N763" s="14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customFormat="false" ht="15.75" hidden="false" customHeight="true" outlineLevel="0" collapsed="false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2"/>
      <c r="L764" s="12"/>
      <c r="M764" s="10"/>
      <c r="N764" s="14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customFormat="false" ht="15.75" hidden="false" customHeight="true" outlineLevel="0" collapsed="false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2"/>
      <c r="L765" s="12"/>
      <c r="M765" s="10"/>
      <c r="N765" s="14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customFormat="false" ht="15.75" hidden="false" customHeight="true" outlineLevel="0" collapsed="false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2"/>
      <c r="L766" s="12"/>
      <c r="M766" s="10"/>
      <c r="N766" s="14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customFormat="false" ht="15.75" hidden="false" customHeight="true" outlineLevel="0" collapsed="false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2"/>
      <c r="L767" s="12"/>
      <c r="M767" s="10"/>
      <c r="N767" s="14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customFormat="false" ht="15.75" hidden="false" customHeight="true" outlineLevel="0" collapsed="false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2"/>
      <c r="L768" s="12"/>
      <c r="M768" s="10"/>
      <c r="N768" s="14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customFormat="false" ht="15.75" hidden="false" customHeight="true" outlineLevel="0" collapsed="false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2"/>
      <c r="L769" s="12"/>
      <c r="M769" s="10"/>
      <c r="N769" s="14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customFormat="false" ht="15.75" hidden="false" customHeight="true" outlineLevel="0" collapsed="false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2"/>
      <c r="L770" s="12"/>
      <c r="M770" s="10"/>
      <c r="N770" s="14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customFormat="false" ht="15.75" hidden="false" customHeight="true" outlineLevel="0" collapsed="false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2"/>
      <c r="L771" s="12"/>
      <c r="M771" s="10"/>
      <c r="N771" s="14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customFormat="false" ht="15.75" hidden="false" customHeight="true" outlineLevel="0" collapsed="false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2"/>
      <c r="L772" s="12"/>
      <c r="M772" s="10"/>
      <c r="N772" s="14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customFormat="false" ht="15.75" hidden="false" customHeight="true" outlineLevel="0" collapsed="false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2"/>
      <c r="L773" s="12"/>
      <c r="M773" s="10"/>
      <c r="N773" s="14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customFormat="false" ht="15.75" hidden="false" customHeight="true" outlineLevel="0" collapsed="false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2"/>
      <c r="L774" s="12"/>
      <c r="M774" s="10"/>
      <c r="N774" s="14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customFormat="false" ht="15.75" hidden="false" customHeight="true" outlineLevel="0" collapsed="false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2"/>
      <c r="L775" s="12"/>
      <c r="M775" s="10"/>
      <c r="N775" s="14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customFormat="false" ht="15.75" hidden="false" customHeight="true" outlineLevel="0" collapsed="false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2"/>
      <c r="L776" s="12"/>
      <c r="M776" s="10"/>
      <c r="N776" s="14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customFormat="false" ht="15.75" hidden="false" customHeight="true" outlineLevel="0" collapsed="false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2"/>
      <c r="L777" s="12"/>
      <c r="M777" s="10"/>
      <c r="N777" s="14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customFormat="false" ht="15.75" hidden="false" customHeight="true" outlineLevel="0" collapsed="false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2"/>
      <c r="L778" s="12"/>
      <c r="M778" s="10"/>
      <c r="N778" s="14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customFormat="false" ht="15.75" hidden="false" customHeight="true" outlineLevel="0" collapsed="false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2"/>
      <c r="L779" s="12"/>
      <c r="M779" s="10"/>
      <c r="N779" s="14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customFormat="false" ht="15.75" hidden="false" customHeight="true" outlineLevel="0" collapsed="false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2"/>
      <c r="L780" s="12"/>
      <c r="M780" s="10"/>
      <c r="N780" s="14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customFormat="false" ht="15.75" hidden="false" customHeight="true" outlineLevel="0" collapsed="false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2"/>
      <c r="L781" s="12"/>
      <c r="M781" s="10"/>
      <c r="N781" s="14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customFormat="false" ht="15.75" hidden="false" customHeight="true" outlineLevel="0" collapsed="false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2"/>
      <c r="L782" s="12"/>
      <c r="M782" s="10"/>
      <c r="N782" s="14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customFormat="false" ht="15.75" hidden="false" customHeight="true" outlineLevel="0" collapsed="false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2"/>
      <c r="L783" s="12"/>
      <c r="M783" s="10"/>
      <c r="N783" s="14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customFormat="false" ht="15.75" hidden="false" customHeight="true" outlineLevel="0" collapsed="false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2"/>
      <c r="L784" s="12"/>
      <c r="M784" s="10"/>
      <c r="N784" s="14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customFormat="false" ht="15.75" hidden="false" customHeight="true" outlineLevel="0" collapsed="false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2"/>
      <c r="L785" s="12"/>
      <c r="M785" s="10"/>
      <c r="N785" s="14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customFormat="false" ht="15.75" hidden="false" customHeight="true" outlineLevel="0" collapsed="false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2"/>
      <c r="L786" s="12"/>
      <c r="M786" s="10"/>
      <c r="N786" s="14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customFormat="false" ht="15.75" hidden="false" customHeight="true" outlineLevel="0" collapsed="false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2"/>
      <c r="L787" s="12"/>
      <c r="M787" s="10"/>
      <c r="N787" s="14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customFormat="false" ht="15.75" hidden="false" customHeight="true" outlineLevel="0" collapsed="false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2"/>
      <c r="L788" s="12"/>
      <c r="M788" s="10"/>
      <c r="N788" s="14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customFormat="false" ht="15.75" hidden="false" customHeight="true" outlineLevel="0" collapsed="false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2"/>
      <c r="L789" s="12"/>
      <c r="M789" s="10"/>
      <c r="N789" s="14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customFormat="false" ht="15.75" hidden="false" customHeight="true" outlineLevel="0" collapsed="false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2"/>
      <c r="L790" s="12"/>
      <c r="M790" s="10"/>
      <c r="N790" s="14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customFormat="false" ht="15.75" hidden="false" customHeight="true" outlineLevel="0" collapsed="false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2"/>
      <c r="L791" s="12"/>
      <c r="M791" s="10"/>
      <c r="N791" s="14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customFormat="false" ht="15.75" hidden="false" customHeight="true" outlineLevel="0" collapsed="false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2"/>
      <c r="L792" s="12"/>
      <c r="M792" s="10"/>
      <c r="N792" s="14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customFormat="false" ht="15.75" hidden="false" customHeight="true" outlineLevel="0" collapsed="false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2"/>
      <c r="L793" s="12"/>
      <c r="M793" s="10"/>
      <c r="N793" s="14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customFormat="false" ht="15.75" hidden="false" customHeight="true" outlineLevel="0" collapsed="false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2"/>
      <c r="L794" s="12"/>
      <c r="M794" s="10"/>
      <c r="N794" s="14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customFormat="false" ht="15.75" hidden="false" customHeight="true" outlineLevel="0" collapsed="false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2"/>
      <c r="L795" s="12"/>
      <c r="M795" s="10"/>
      <c r="N795" s="14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customFormat="false" ht="15.75" hidden="false" customHeight="true" outlineLevel="0" collapsed="false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2"/>
      <c r="L796" s="12"/>
      <c r="M796" s="10"/>
      <c r="N796" s="14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customFormat="false" ht="15.75" hidden="false" customHeight="true" outlineLevel="0" collapsed="false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2"/>
      <c r="L797" s="12"/>
      <c r="M797" s="10"/>
      <c r="N797" s="14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customFormat="false" ht="15.75" hidden="false" customHeight="true" outlineLevel="0" collapsed="false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2"/>
      <c r="L798" s="12"/>
      <c r="M798" s="10"/>
      <c r="N798" s="14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customFormat="false" ht="15.75" hidden="false" customHeight="true" outlineLevel="0" collapsed="false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2"/>
      <c r="L799" s="12"/>
      <c r="M799" s="10"/>
      <c r="N799" s="14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customFormat="false" ht="15.75" hidden="false" customHeight="true" outlineLevel="0" collapsed="false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2"/>
      <c r="L800" s="12"/>
      <c r="M800" s="10"/>
      <c r="N800" s="14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customFormat="false" ht="15.75" hidden="false" customHeight="true" outlineLevel="0" collapsed="false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2"/>
      <c r="L801" s="12"/>
      <c r="M801" s="10"/>
      <c r="N801" s="14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customFormat="false" ht="15.75" hidden="false" customHeight="true" outlineLevel="0" collapsed="false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2"/>
      <c r="L802" s="12"/>
      <c r="M802" s="10"/>
      <c r="N802" s="14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customFormat="false" ht="15.75" hidden="false" customHeight="true" outlineLevel="0" collapsed="false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2"/>
      <c r="L803" s="12"/>
      <c r="M803" s="10"/>
      <c r="N803" s="14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customFormat="false" ht="15.75" hidden="false" customHeight="true" outlineLevel="0" collapsed="false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2"/>
      <c r="L804" s="12"/>
      <c r="M804" s="10"/>
      <c r="N804" s="14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customFormat="false" ht="15.75" hidden="false" customHeight="true" outlineLevel="0" collapsed="false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2"/>
      <c r="L805" s="12"/>
      <c r="M805" s="10"/>
      <c r="N805" s="14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customFormat="false" ht="15.75" hidden="false" customHeight="true" outlineLevel="0" collapsed="false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2"/>
      <c r="L806" s="12"/>
      <c r="M806" s="10"/>
      <c r="N806" s="14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customFormat="false" ht="15.75" hidden="false" customHeight="true" outlineLevel="0" collapsed="false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2"/>
      <c r="L807" s="12"/>
      <c r="M807" s="10"/>
      <c r="N807" s="14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customFormat="false" ht="15.75" hidden="false" customHeight="true" outlineLevel="0" collapsed="false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2"/>
      <c r="L808" s="12"/>
      <c r="M808" s="10"/>
      <c r="N808" s="14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customFormat="false" ht="15.75" hidden="false" customHeight="true" outlineLevel="0" collapsed="false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2"/>
      <c r="L809" s="12"/>
      <c r="M809" s="10"/>
      <c r="N809" s="14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customFormat="false" ht="15.75" hidden="false" customHeight="true" outlineLevel="0" collapsed="false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2"/>
      <c r="L810" s="12"/>
      <c r="M810" s="10"/>
      <c r="N810" s="14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customFormat="false" ht="15.75" hidden="false" customHeight="true" outlineLevel="0" collapsed="false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2"/>
      <c r="L811" s="12"/>
      <c r="M811" s="10"/>
      <c r="N811" s="14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customFormat="false" ht="15.75" hidden="false" customHeight="true" outlineLevel="0" collapsed="false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2"/>
      <c r="L812" s="12"/>
      <c r="M812" s="10"/>
      <c r="N812" s="14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customFormat="false" ht="15.75" hidden="false" customHeight="true" outlineLevel="0" collapsed="false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2"/>
      <c r="L813" s="12"/>
      <c r="M813" s="10"/>
      <c r="N813" s="14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customFormat="false" ht="15.75" hidden="false" customHeight="true" outlineLevel="0" collapsed="false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2"/>
      <c r="L814" s="12"/>
      <c r="M814" s="10"/>
      <c r="N814" s="14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customFormat="false" ht="15.75" hidden="false" customHeight="true" outlineLevel="0" collapsed="false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2"/>
      <c r="L815" s="12"/>
      <c r="M815" s="10"/>
      <c r="N815" s="14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customFormat="false" ht="15.75" hidden="false" customHeight="true" outlineLevel="0" collapsed="false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2"/>
      <c r="L816" s="12"/>
      <c r="M816" s="10"/>
      <c r="N816" s="14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customFormat="false" ht="15.75" hidden="false" customHeight="true" outlineLevel="0" collapsed="false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2"/>
      <c r="L817" s="12"/>
      <c r="M817" s="10"/>
      <c r="N817" s="14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customFormat="false" ht="15.75" hidden="false" customHeight="true" outlineLevel="0" collapsed="false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2"/>
      <c r="L818" s="12"/>
      <c r="M818" s="10"/>
      <c r="N818" s="14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customFormat="false" ht="15.75" hidden="false" customHeight="true" outlineLevel="0" collapsed="false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2"/>
      <c r="L819" s="12"/>
      <c r="M819" s="10"/>
      <c r="N819" s="14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customFormat="false" ht="15.75" hidden="false" customHeight="true" outlineLevel="0" collapsed="false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2"/>
      <c r="L820" s="12"/>
      <c r="M820" s="10"/>
      <c r="N820" s="14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customFormat="false" ht="15.75" hidden="false" customHeight="true" outlineLevel="0" collapsed="false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2"/>
      <c r="L821" s="12"/>
      <c r="M821" s="10"/>
      <c r="N821" s="14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customFormat="false" ht="15.75" hidden="false" customHeight="true" outlineLevel="0" collapsed="false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2"/>
      <c r="L822" s="12"/>
      <c r="M822" s="10"/>
      <c r="N822" s="14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customFormat="false" ht="15.75" hidden="false" customHeight="true" outlineLevel="0" collapsed="false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2"/>
      <c r="L823" s="12"/>
      <c r="M823" s="10"/>
      <c r="N823" s="14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customFormat="false" ht="15.75" hidden="false" customHeight="true" outlineLevel="0" collapsed="false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2"/>
      <c r="L824" s="12"/>
      <c r="M824" s="10"/>
      <c r="N824" s="14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customFormat="false" ht="15.75" hidden="false" customHeight="true" outlineLevel="0" collapsed="false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2"/>
      <c r="L825" s="12"/>
      <c r="M825" s="10"/>
      <c r="N825" s="14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customFormat="false" ht="15.75" hidden="false" customHeight="true" outlineLevel="0" collapsed="false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2"/>
      <c r="L826" s="12"/>
      <c r="M826" s="10"/>
      <c r="N826" s="14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customFormat="false" ht="15.75" hidden="false" customHeight="true" outlineLevel="0" collapsed="false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2"/>
      <c r="L827" s="12"/>
      <c r="M827" s="10"/>
      <c r="N827" s="14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customFormat="false" ht="15.75" hidden="false" customHeight="true" outlineLevel="0" collapsed="false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2"/>
      <c r="L828" s="12"/>
      <c r="M828" s="10"/>
      <c r="N828" s="14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customFormat="false" ht="15.75" hidden="false" customHeight="true" outlineLevel="0" collapsed="false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2"/>
      <c r="L829" s="12"/>
      <c r="M829" s="10"/>
      <c r="N829" s="14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customFormat="false" ht="15.75" hidden="false" customHeight="true" outlineLevel="0" collapsed="false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2"/>
      <c r="L830" s="12"/>
      <c r="M830" s="10"/>
      <c r="N830" s="14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customFormat="false" ht="15.75" hidden="false" customHeight="true" outlineLevel="0" collapsed="false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2"/>
      <c r="L831" s="12"/>
      <c r="M831" s="10"/>
      <c r="N831" s="14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customFormat="false" ht="15.75" hidden="false" customHeight="true" outlineLevel="0" collapsed="false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2"/>
      <c r="L832" s="12"/>
      <c r="M832" s="10"/>
      <c r="N832" s="14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customFormat="false" ht="15.75" hidden="false" customHeight="true" outlineLevel="0" collapsed="false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2"/>
      <c r="L833" s="12"/>
      <c r="M833" s="10"/>
      <c r="N833" s="14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customFormat="false" ht="15.75" hidden="false" customHeight="true" outlineLevel="0" collapsed="false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2"/>
      <c r="L834" s="12"/>
      <c r="M834" s="10"/>
      <c r="N834" s="14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customFormat="false" ht="15.75" hidden="false" customHeight="true" outlineLevel="0" collapsed="false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2"/>
      <c r="L835" s="12"/>
      <c r="M835" s="10"/>
      <c r="N835" s="14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customFormat="false" ht="15.75" hidden="false" customHeight="true" outlineLevel="0" collapsed="false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2"/>
      <c r="L836" s="12"/>
      <c r="M836" s="10"/>
      <c r="N836" s="14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customFormat="false" ht="15.75" hidden="false" customHeight="true" outlineLevel="0" collapsed="false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2"/>
      <c r="L837" s="12"/>
      <c r="M837" s="10"/>
      <c r="N837" s="14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customFormat="false" ht="15.75" hidden="false" customHeight="true" outlineLevel="0" collapsed="false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2"/>
      <c r="L838" s="12"/>
      <c r="M838" s="10"/>
      <c r="N838" s="14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customFormat="false" ht="15.75" hidden="false" customHeight="true" outlineLevel="0" collapsed="false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2"/>
      <c r="L839" s="12"/>
      <c r="M839" s="10"/>
      <c r="N839" s="14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customFormat="false" ht="15.75" hidden="false" customHeight="true" outlineLevel="0" collapsed="false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2"/>
      <c r="L840" s="12"/>
      <c r="M840" s="10"/>
      <c r="N840" s="14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customFormat="false" ht="15.75" hidden="false" customHeight="true" outlineLevel="0" collapsed="false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2"/>
      <c r="L841" s="12"/>
      <c r="M841" s="10"/>
      <c r="N841" s="14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customFormat="false" ht="15.75" hidden="false" customHeight="true" outlineLevel="0" collapsed="false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2"/>
      <c r="L842" s="12"/>
      <c r="M842" s="10"/>
      <c r="N842" s="14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customFormat="false" ht="15.75" hidden="false" customHeight="true" outlineLevel="0" collapsed="false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2"/>
      <c r="L843" s="12"/>
      <c r="M843" s="10"/>
      <c r="N843" s="14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customFormat="false" ht="15.75" hidden="false" customHeight="true" outlineLevel="0" collapsed="false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2"/>
      <c r="L844" s="12"/>
      <c r="M844" s="10"/>
      <c r="N844" s="14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customFormat="false" ht="15.75" hidden="false" customHeight="true" outlineLevel="0" collapsed="false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2"/>
      <c r="L845" s="12"/>
      <c r="M845" s="10"/>
      <c r="N845" s="14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customFormat="false" ht="15.75" hidden="false" customHeight="true" outlineLevel="0" collapsed="false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2"/>
      <c r="L846" s="12"/>
      <c r="M846" s="10"/>
      <c r="N846" s="14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customFormat="false" ht="15.75" hidden="false" customHeight="true" outlineLevel="0" collapsed="false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2"/>
      <c r="L847" s="12"/>
      <c r="M847" s="10"/>
      <c r="N847" s="14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customFormat="false" ht="15.75" hidden="false" customHeight="true" outlineLevel="0" collapsed="false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2"/>
      <c r="L848" s="12"/>
      <c r="M848" s="10"/>
      <c r="N848" s="14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customFormat="false" ht="15.75" hidden="false" customHeight="true" outlineLevel="0" collapsed="false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2"/>
      <c r="L849" s="12"/>
      <c r="M849" s="10"/>
      <c r="N849" s="14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customFormat="false" ht="15.75" hidden="false" customHeight="true" outlineLevel="0" collapsed="false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2"/>
      <c r="L850" s="12"/>
      <c r="M850" s="10"/>
      <c r="N850" s="14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customFormat="false" ht="15.75" hidden="false" customHeight="true" outlineLevel="0" collapsed="false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2"/>
      <c r="L851" s="12"/>
      <c r="M851" s="10"/>
      <c r="N851" s="14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customFormat="false" ht="15.75" hidden="false" customHeight="true" outlineLevel="0" collapsed="false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2"/>
      <c r="L852" s="12"/>
      <c r="M852" s="10"/>
      <c r="N852" s="14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customFormat="false" ht="15.75" hidden="false" customHeight="true" outlineLevel="0" collapsed="false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2"/>
      <c r="L853" s="12"/>
      <c r="M853" s="10"/>
      <c r="N853" s="14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customFormat="false" ht="15.75" hidden="false" customHeight="true" outlineLevel="0" collapsed="false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2"/>
      <c r="L854" s="12"/>
      <c r="M854" s="10"/>
      <c r="N854" s="14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customFormat="false" ht="15.75" hidden="false" customHeight="true" outlineLevel="0" collapsed="false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2"/>
      <c r="L855" s="12"/>
      <c r="M855" s="10"/>
      <c r="N855" s="14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customFormat="false" ht="15.75" hidden="false" customHeight="true" outlineLevel="0" collapsed="false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2"/>
      <c r="L856" s="12"/>
      <c r="M856" s="10"/>
      <c r="N856" s="14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customFormat="false" ht="15.75" hidden="false" customHeight="true" outlineLevel="0" collapsed="false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2"/>
      <c r="L857" s="12"/>
      <c r="M857" s="10"/>
      <c r="N857" s="14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customFormat="false" ht="15.75" hidden="false" customHeight="true" outlineLevel="0" collapsed="false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2"/>
      <c r="L858" s="12"/>
      <c r="M858" s="10"/>
      <c r="N858" s="14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customFormat="false" ht="15.75" hidden="false" customHeight="true" outlineLevel="0" collapsed="false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2"/>
      <c r="L859" s="12"/>
      <c r="M859" s="10"/>
      <c r="N859" s="14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customFormat="false" ht="15.75" hidden="false" customHeight="true" outlineLevel="0" collapsed="false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2"/>
      <c r="L860" s="12"/>
      <c r="M860" s="10"/>
      <c r="N860" s="14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customFormat="false" ht="15.75" hidden="false" customHeight="true" outlineLevel="0" collapsed="false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2"/>
      <c r="L861" s="12"/>
      <c r="M861" s="10"/>
      <c r="N861" s="14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customFormat="false" ht="15.75" hidden="false" customHeight="true" outlineLevel="0" collapsed="false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2"/>
      <c r="L862" s="12"/>
      <c r="M862" s="10"/>
      <c r="N862" s="14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customFormat="false" ht="15.75" hidden="false" customHeight="true" outlineLevel="0" collapsed="false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2"/>
      <c r="L863" s="12"/>
      <c r="M863" s="10"/>
      <c r="N863" s="14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customFormat="false" ht="15.75" hidden="false" customHeight="true" outlineLevel="0" collapsed="false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2"/>
      <c r="L864" s="12"/>
      <c r="M864" s="10"/>
      <c r="N864" s="14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customFormat="false" ht="15.75" hidden="false" customHeight="true" outlineLevel="0" collapsed="false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2"/>
      <c r="L865" s="12"/>
      <c r="M865" s="10"/>
      <c r="N865" s="14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customFormat="false" ht="15.75" hidden="false" customHeight="true" outlineLevel="0" collapsed="false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2"/>
      <c r="L866" s="12"/>
      <c r="M866" s="10"/>
      <c r="N866" s="14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customFormat="false" ht="15.75" hidden="false" customHeight="true" outlineLevel="0" collapsed="false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2"/>
      <c r="L867" s="12"/>
      <c r="M867" s="10"/>
      <c r="N867" s="14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customFormat="false" ht="15.75" hidden="false" customHeight="true" outlineLevel="0" collapsed="false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2"/>
      <c r="L868" s="12"/>
      <c r="M868" s="10"/>
      <c r="N868" s="14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customFormat="false" ht="15.75" hidden="false" customHeight="true" outlineLevel="0" collapsed="false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2"/>
      <c r="L869" s="12"/>
      <c r="M869" s="10"/>
      <c r="N869" s="14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customFormat="false" ht="15.75" hidden="false" customHeight="true" outlineLevel="0" collapsed="false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2"/>
      <c r="L870" s="12"/>
      <c r="M870" s="10"/>
      <c r="N870" s="14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customFormat="false" ht="15.75" hidden="false" customHeight="true" outlineLevel="0" collapsed="false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2"/>
      <c r="L871" s="12"/>
      <c r="M871" s="10"/>
      <c r="N871" s="14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customFormat="false" ht="15.75" hidden="false" customHeight="true" outlineLevel="0" collapsed="false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2"/>
      <c r="L872" s="12"/>
      <c r="M872" s="10"/>
      <c r="N872" s="14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customFormat="false" ht="15.75" hidden="false" customHeight="true" outlineLevel="0" collapsed="false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2"/>
      <c r="L873" s="12"/>
      <c r="M873" s="10"/>
      <c r="N873" s="14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customFormat="false" ht="15.75" hidden="false" customHeight="true" outlineLevel="0" collapsed="false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2"/>
      <c r="L874" s="12"/>
      <c r="M874" s="10"/>
      <c r="N874" s="14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customFormat="false" ht="15.75" hidden="false" customHeight="true" outlineLevel="0" collapsed="false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2"/>
      <c r="L875" s="12"/>
      <c r="M875" s="10"/>
      <c r="N875" s="14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customFormat="false" ht="15.75" hidden="false" customHeight="true" outlineLevel="0" collapsed="false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2"/>
      <c r="L876" s="12"/>
      <c r="M876" s="10"/>
      <c r="N876" s="14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customFormat="false" ht="15.75" hidden="false" customHeight="true" outlineLevel="0" collapsed="false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2"/>
      <c r="L877" s="12"/>
      <c r="M877" s="10"/>
      <c r="N877" s="14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customFormat="false" ht="15.75" hidden="false" customHeight="true" outlineLevel="0" collapsed="false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2"/>
      <c r="L878" s="12"/>
      <c r="M878" s="10"/>
      <c r="N878" s="14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customFormat="false" ht="15.75" hidden="false" customHeight="true" outlineLevel="0" collapsed="false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2"/>
      <c r="L879" s="12"/>
      <c r="M879" s="10"/>
      <c r="N879" s="14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customFormat="false" ht="15.75" hidden="false" customHeight="true" outlineLevel="0" collapsed="false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2"/>
      <c r="L880" s="12"/>
      <c r="M880" s="10"/>
      <c r="N880" s="14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customFormat="false" ht="15.75" hidden="false" customHeight="true" outlineLevel="0" collapsed="false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2"/>
      <c r="L881" s="12"/>
      <c r="M881" s="10"/>
      <c r="N881" s="14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customFormat="false" ht="15.75" hidden="false" customHeight="true" outlineLevel="0" collapsed="false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2"/>
      <c r="L882" s="12"/>
      <c r="M882" s="10"/>
      <c r="N882" s="14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customFormat="false" ht="15.75" hidden="false" customHeight="true" outlineLevel="0" collapsed="false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2"/>
      <c r="L883" s="12"/>
      <c r="M883" s="10"/>
      <c r="N883" s="14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customFormat="false" ht="15.75" hidden="false" customHeight="true" outlineLevel="0" collapsed="false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2"/>
      <c r="L884" s="12"/>
      <c r="M884" s="10"/>
      <c r="N884" s="14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customFormat="false" ht="15.75" hidden="false" customHeight="true" outlineLevel="0" collapsed="false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2"/>
      <c r="L885" s="12"/>
      <c r="M885" s="10"/>
      <c r="N885" s="14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customFormat="false" ht="15.75" hidden="false" customHeight="true" outlineLevel="0" collapsed="false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2"/>
      <c r="L886" s="12"/>
      <c r="M886" s="10"/>
      <c r="N886" s="14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customFormat="false" ht="15.75" hidden="false" customHeight="true" outlineLevel="0" collapsed="false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2"/>
      <c r="L887" s="12"/>
      <c r="M887" s="10"/>
      <c r="N887" s="14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customFormat="false" ht="15.75" hidden="false" customHeight="true" outlineLevel="0" collapsed="false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2"/>
      <c r="L888" s="12"/>
      <c r="M888" s="10"/>
      <c r="N888" s="14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customFormat="false" ht="15.75" hidden="false" customHeight="true" outlineLevel="0" collapsed="false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2"/>
      <c r="L889" s="12"/>
      <c r="M889" s="10"/>
      <c r="N889" s="14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customFormat="false" ht="15.75" hidden="false" customHeight="true" outlineLevel="0" collapsed="false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2"/>
      <c r="L890" s="12"/>
      <c r="M890" s="10"/>
      <c r="N890" s="14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customFormat="false" ht="15.75" hidden="false" customHeight="true" outlineLevel="0" collapsed="false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2"/>
      <c r="L891" s="12"/>
      <c r="M891" s="10"/>
      <c r="N891" s="14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customFormat="false" ht="15.75" hidden="false" customHeight="true" outlineLevel="0" collapsed="false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2"/>
      <c r="L892" s="12"/>
      <c r="M892" s="10"/>
      <c r="N892" s="14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customFormat="false" ht="15.75" hidden="false" customHeight="true" outlineLevel="0" collapsed="false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2"/>
      <c r="L893" s="12"/>
      <c r="M893" s="10"/>
      <c r="N893" s="14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customFormat="false" ht="15.75" hidden="false" customHeight="true" outlineLevel="0" collapsed="false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2"/>
      <c r="L894" s="12"/>
      <c r="M894" s="10"/>
      <c r="N894" s="14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customFormat="false" ht="15.75" hidden="false" customHeight="true" outlineLevel="0" collapsed="false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2"/>
      <c r="L895" s="12"/>
      <c r="M895" s="10"/>
      <c r="N895" s="14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customFormat="false" ht="15.75" hidden="false" customHeight="true" outlineLevel="0" collapsed="false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2"/>
      <c r="L896" s="12"/>
      <c r="M896" s="10"/>
      <c r="N896" s="14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customFormat="false" ht="15.75" hidden="false" customHeight="true" outlineLevel="0" collapsed="false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2"/>
      <c r="L897" s="12"/>
      <c r="M897" s="10"/>
      <c r="N897" s="14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customFormat="false" ht="15.75" hidden="false" customHeight="true" outlineLevel="0" collapsed="false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2"/>
      <c r="L898" s="12"/>
      <c r="M898" s="10"/>
      <c r="N898" s="14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customFormat="false" ht="15.75" hidden="false" customHeight="true" outlineLevel="0" collapsed="false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2"/>
      <c r="L899" s="12"/>
      <c r="M899" s="10"/>
      <c r="N899" s="14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customFormat="false" ht="15.75" hidden="false" customHeight="true" outlineLevel="0" collapsed="false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2"/>
      <c r="L900" s="12"/>
      <c r="M900" s="10"/>
      <c r="N900" s="14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customFormat="false" ht="15.75" hidden="false" customHeight="true" outlineLevel="0" collapsed="false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2"/>
      <c r="L901" s="12"/>
      <c r="M901" s="10"/>
      <c r="N901" s="14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customFormat="false" ht="15.75" hidden="false" customHeight="true" outlineLevel="0" collapsed="false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2"/>
      <c r="L902" s="12"/>
      <c r="M902" s="10"/>
      <c r="N902" s="14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customFormat="false" ht="15.75" hidden="false" customHeight="true" outlineLevel="0" collapsed="false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2"/>
      <c r="L903" s="12"/>
      <c r="M903" s="10"/>
      <c r="N903" s="14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customFormat="false" ht="15.75" hidden="false" customHeight="true" outlineLevel="0" collapsed="false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2"/>
      <c r="L904" s="12"/>
      <c r="M904" s="10"/>
      <c r="N904" s="14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customFormat="false" ht="15.75" hidden="false" customHeight="true" outlineLevel="0" collapsed="false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2"/>
      <c r="L905" s="12"/>
      <c r="M905" s="10"/>
      <c r="N905" s="14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customFormat="false" ht="15.75" hidden="false" customHeight="true" outlineLevel="0" collapsed="false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2"/>
      <c r="L906" s="12"/>
      <c r="M906" s="10"/>
      <c r="N906" s="14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customFormat="false" ht="15.75" hidden="false" customHeight="true" outlineLevel="0" collapsed="false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2"/>
      <c r="L907" s="12"/>
      <c r="M907" s="10"/>
      <c r="N907" s="14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customFormat="false" ht="15.75" hidden="false" customHeight="true" outlineLevel="0" collapsed="false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2"/>
      <c r="L908" s="12"/>
      <c r="M908" s="10"/>
      <c r="N908" s="14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customFormat="false" ht="15.75" hidden="false" customHeight="true" outlineLevel="0" collapsed="false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2"/>
      <c r="L909" s="12"/>
      <c r="M909" s="10"/>
      <c r="N909" s="14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customFormat="false" ht="15.75" hidden="false" customHeight="true" outlineLevel="0" collapsed="false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2"/>
      <c r="L910" s="12"/>
      <c r="M910" s="10"/>
      <c r="N910" s="14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customFormat="false" ht="15.75" hidden="false" customHeight="true" outlineLevel="0" collapsed="false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2"/>
      <c r="L911" s="12"/>
      <c r="M911" s="10"/>
      <c r="N911" s="14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customFormat="false" ht="15.75" hidden="false" customHeight="true" outlineLevel="0" collapsed="false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2"/>
      <c r="L912" s="12"/>
      <c r="M912" s="10"/>
      <c r="N912" s="14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customFormat="false" ht="15.75" hidden="false" customHeight="true" outlineLevel="0" collapsed="false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2"/>
      <c r="L913" s="12"/>
      <c r="M913" s="10"/>
      <c r="N913" s="14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customFormat="false" ht="15.75" hidden="false" customHeight="true" outlineLevel="0" collapsed="false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2"/>
      <c r="L914" s="12"/>
      <c r="M914" s="10"/>
      <c r="N914" s="14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customFormat="false" ht="15.75" hidden="false" customHeight="true" outlineLevel="0" collapsed="false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2"/>
      <c r="L915" s="12"/>
      <c r="M915" s="10"/>
      <c r="N915" s="14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customFormat="false" ht="15.75" hidden="false" customHeight="true" outlineLevel="0" collapsed="false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2"/>
      <c r="L916" s="12"/>
      <c r="M916" s="10"/>
      <c r="N916" s="14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customFormat="false" ht="15.75" hidden="false" customHeight="true" outlineLevel="0" collapsed="false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2"/>
      <c r="L917" s="12"/>
      <c r="M917" s="10"/>
      <c r="N917" s="14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customFormat="false" ht="15.75" hidden="false" customHeight="true" outlineLevel="0" collapsed="false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2"/>
      <c r="L918" s="12"/>
      <c r="M918" s="10"/>
      <c r="N918" s="14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customFormat="false" ht="15.75" hidden="false" customHeight="true" outlineLevel="0" collapsed="false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2"/>
      <c r="L919" s="12"/>
      <c r="M919" s="10"/>
      <c r="N919" s="14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customFormat="false" ht="15.75" hidden="false" customHeight="true" outlineLevel="0" collapsed="false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2"/>
      <c r="L920" s="12"/>
      <c r="M920" s="10"/>
      <c r="N920" s="14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customFormat="false" ht="15.75" hidden="false" customHeight="true" outlineLevel="0" collapsed="false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2"/>
      <c r="L921" s="12"/>
      <c r="M921" s="10"/>
      <c r="N921" s="14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customFormat="false" ht="15.75" hidden="false" customHeight="true" outlineLevel="0" collapsed="false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2"/>
      <c r="L922" s="12"/>
      <c r="M922" s="10"/>
      <c r="N922" s="14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customFormat="false" ht="15.75" hidden="false" customHeight="true" outlineLevel="0" collapsed="false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2"/>
      <c r="L923" s="12"/>
      <c r="M923" s="10"/>
      <c r="N923" s="14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customFormat="false" ht="15.75" hidden="false" customHeight="true" outlineLevel="0" collapsed="false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2"/>
      <c r="L924" s="12"/>
      <c r="M924" s="10"/>
      <c r="N924" s="14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customFormat="false" ht="15.75" hidden="false" customHeight="true" outlineLevel="0" collapsed="false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2"/>
      <c r="L925" s="12"/>
      <c r="M925" s="10"/>
      <c r="N925" s="14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customFormat="false" ht="15.75" hidden="false" customHeight="true" outlineLevel="0" collapsed="false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2"/>
      <c r="L926" s="12"/>
      <c r="M926" s="10"/>
      <c r="N926" s="14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customFormat="false" ht="15.75" hidden="false" customHeight="true" outlineLevel="0" collapsed="false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2"/>
      <c r="L927" s="12"/>
      <c r="M927" s="10"/>
      <c r="N927" s="14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customFormat="false" ht="15.75" hidden="false" customHeight="true" outlineLevel="0" collapsed="false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2"/>
      <c r="L928" s="12"/>
      <c r="M928" s="10"/>
      <c r="N928" s="14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customFormat="false" ht="15.75" hidden="false" customHeight="true" outlineLevel="0" collapsed="false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2"/>
      <c r="L929" s="12"/>
      <c r="M929" s="10"/>
      <c r="N929" s="14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customFormat="false" ht="15.75" hidden="false" customHeight="true" outlineLevel="0" collapsed="false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2"/>
      <c r="L930" s="12"/>
      <c r="M930" s="10"/>
      <c r="N930" s="14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customFormat="false" ht="15.75" hidden="false" customHeight="true" outlineLevel="0" collapsed="false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2"/>
      <c r="L931" s="12"/>
      <c r="M931" s="10"/>
      <c r="N931" s="14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customFormat="false" ht="15.75" hidden="false" customHeight="true" outlineLevel="0" collapsed="false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2"/>
      <c r="L932" s="12"/>
      <c r="M932" s="10"/>
      <c r="N932" s="14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customFormat="false" ht="15.75" hidden="false" customHeight="true" outlineLevel="0" collapsed="false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2"/>
      <c r="L933" s="12"/>
      <c r="M933" s="10"/>
      <c r="N933" s="14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customFormat="false" ht="15.75" hidden="false" customHeight="true" outlineLevel="0" collapsed="false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2"/>
      <c r="L934" s="12"/>
      <c r="M934" s="10"/>
      <c r="N934" s="14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customFormat="false" ht="15.75" hidden="false" customHeight="true" outlineLevel="0" collapsed="false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2"/>
      <c r="L935" s="12"/>
      <c r="M935" s="10"/>
      <c r="N935" s="14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customFormat="false" ht="15.75" hidden="false" customHeight="true" outlineLevel="0" collapsed="false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2"/>
      <c r="L936" s="12"/>
      <c r="M936" s="10"/>
      <c r="N936" s="14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customFormat="false" ht="15.75" hidden="false" customHeight="true" outlineLevel="0" collapsed="false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2"/>
      <c r="L937" s="12"/>
      <c r="M937" s="10"/>
      <c r="N937" s="14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customFormat="false" ht="15.75" hidden="false" customHeight="true" outlineLevel="0" collapsed="false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2"/>
      <c r="L938" s="12"/>
      <c r="M938" s="10"/>
      <c r="N938" s="14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customFormat="false" ht="15.75" hidden="false" customHeight="true" outlineLevel="0" collapsed="false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2"/>
      <c r="L939" s="12"/>
      <c r="M939" s="10"/>
      <c r="N939" s="14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customFormat="false" ht="15.75" hidden="false" customHeight="true" outlineLevel="0" collapsed="false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2"/>
      <c r="L940" s="12"/>
      <c r="M940" s="10"/>
      <c r="N940" s="14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customFormat="false" ht="15.75" hidden="false" customHeight="true" outlineLevel="0" collapsed="false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2"/>
      <c r="L941" s="12"/>
      <c r="M941" s="10"/>
      <c r="N941" s="14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customFormat="false" ht="15.75" hidden="false" customHeight="true" outlineLevel="0" collapsed="false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2"/>
      <c r="L942" s="12"/>
      <c r="M942" s="10"/>
      <c r="N942" s="14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customFormat="false" ht="15.75" hidden="false" customHeight="true" outlineLevel="0" collapsed="false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2"/>
      <c r="L943" s="12"/>
      <c r="M943" s="10"/>
      <c r="N943" s="14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customFormat="false" ht="15.75" hidden="false" customHeight="true" outlineLevel="0" collapsed="false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2"/>
      <c r="L944" s="12"/>
      <c r="M944" s="10"/>
      <c r="N944" s="14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customFormat="false" ht="15.75" hidden="false" customHeight="true" outlineLevel="0" collapsed="false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2"/>
      <c r="L945" s="12"/>
      <c r="M945" s="10"/>
      <c r="N945" s="14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customFormat="false" ht="15.75" hidden="false" customHeight="true" outlineLevel="0" collapsed="false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2"/>
      <c r="L946" s="12"/>
      <c r="M946" s="10"/>
      <c r="N946" s="14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customFormat="false" ht="15.75" hidden="false" customHeight="true" outlineLevel="0" collapsed="false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2"/>
      <c r="L947" s="12"/>
      <c r="M947" s="10"/>
      <c r="N947" s="14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customFormat="false" ht="15.75" hidden="false" customHeight="true" outlineLevel="0" collapsed="false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2"/>
      <c r="L948" s="12"/>
      <c r="M948" s="10"/>
      <c r="N948" s="14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customFormat="false" ht="15.75" hidden="false" customHeight="true" outlineLevel="0" collapsed="false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2"/>
      <c r="L949" s="12"/>
      <c r="M949" s="10"/>
      <c r="N949" s="14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customFormat="false" ht="15.75" hidden="false" customHeight="true" outlineLevel="0" collapsed="false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2"/>
      <c r="L950" s="12"/>
      <c r="M950" s="10"/>
      <c r="N950" s="14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customFormat="false" ht="15.75" hidden="false" customHeight="true" outlineLevel="0" collapsed="false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2"/>
      <c r="L951" s="12"/>
      <c r="M951" s="10"/>
      <c r="N951" s="14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customFormat="false" ht="15.75" hidden="false" customHeight="true" outlineLevel="0" collapsed="false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2"/>
      <c r="L952" s="12"/>
      <c r="M952" s="10"/>
      <c r="N952" s="14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customFormat="false" ht="15.75" hidden="false" customHeight="true" outlineLevel="0" collapsed="false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2"/>
      <c r="L953" s="12"/>
      <c r="M953" s="10"/>
      <c r="N953" s="14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customFormat="false" ht="15.75" hidden="false" customHeight="true" outlineLevel="0" collapsed="false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2"/>
      <c r="L954" s="12"/>
      <c r="M954" s="10"/>
      <c r="N954" s="14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customFormat="false" ht="15.75" hidden="false" customHeight="true" outlineLevel="0" collapsed="false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2"/>
      <c r="L955" s="12"/>
      <c r="M955" s="10"/>
      <c r="N955" s="14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customFormat="false" ht="15.75" hidden="false" customHeight="true" outlineLevel="0" collapsed="false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2"/>
      <c r="L956" s="12"/>
      <c r="M956" s="10"/>
      <c r="N956" s="14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customFormat="false" ht="15.75" hidden="false" customHeight="true" outlineLevel="0" collapsed="false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2"/>
      <c r="L957" s="12"/>
      <c r="M957" s="10"/>
      <c r="N957" s="14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customFormat="false" ht="15.75" hidden="false" customHeight="true" outlineLevel="0" collapsed="false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2"/>
      <c r="L958" s="12"/>
      <c r="M958" s="10"/>
      <c r="N958" s="14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customFormat="false" ht="15.75" hidden="false" customHeight="true" outlineLevel="0" collapsed="false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2"/>
      <c r="L959" s="12"/>
      <c r="M959" s="10"/>
      <c r="N959" s="14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customFormat="false" ht="15.75" hidden="false" customHeight="true" outlineLevel="0" collapsed="false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2"/>
      <c r="L960" s="12"/>
      <c r="M960" s="10"/>
      <c r="N960" s="14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customFormat="false" ht="15.75" hidden="false" customHeight="true" outlineLevel="0" collapsed="false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2"/>
      <c r="L961" s="12"/>
      <c r="M961" s="10"/>
      <c r="N961" s="14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customFormat="false" ht="15.75" hidden="false" customHeight="true" outlineLevel="0" collapsed="false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2"/>
      <c r="L962" s="12"/>
      <c r="M962" s="10"/>
      <c r="N962" s="14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customFormat="false" ht="15.75" hidden="false" customHeight="true" outlineLevel="0" collapsed="false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2"/>
      <c r="L963" s="12"/>
      <c r="M963" s="10"/>
      <c r="N963" s="14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customFormat="false" ht="15.75" hidden="false" customHeight="true" outlineLevel="0" collapsed="false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2"/>
      <c r="L964" s="12"/>
      <c r="M964" s="10"/>
      <c r="N964" s="14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customFormat="false" ht="15.75" hidden="false" customHeight="true" outlineLevel="0" collapsed="false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2"/>
      <c r="L965" s="12"/>
      <c r="M965" s="10"/>
      <c r="N965" s="14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customFormat="false" ht="15.75" hidden="false" customHeight="true" outlineLevel="0" collapsed="false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2"/>
      <c r="L966" s="12"/>
      <c r="M966" s="10"/>
      <c r="N966" s="14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customFormat="false" ht="15.75" hidden="false" customHeight="true" outlineLevel="0" collapsed="false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2"/>
      <c r="L967" s="12"/>
      <c r="M967" s="10"/>
      <c r="N967" s="14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customFormat="false" ht="15.75" hidden="false" customHeight="true" outlineLevel="0" collapsed="false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2"/>
      <c r="L968" s="12"/>
      <c r="M968" s="10"/>
      <c r="N968" s="14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customFormat="false" ht="15.75" hidden="false" customHeight="true" outlineLevel="0" collapsed="false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2"/>
      <c r="L969" s="12"/>
      <c r="M969" s="10"/>
      <c r="N969" s="14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customFormat="false" ht="15.75" hidden="false" customHeight="true" outlineLevel="0" collapsed="false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2"/>
      <c r="L970" s="12"/>
      <c r="M970" s="10"/>
      <c r="N970" s="14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customFormat="false" ht="15.75" hidden="false" customHeight="true" outlineLevel="0" collapsed="false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2"/>
      <c r="L971" s="12"/>
      <c r="M971" s="10"/>
      <c r="N971" s="14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customFormat="false" ht="15.75" hidden="false" customHeight="true" outlineLevel="0" collapsed="false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2"/>
      <c r="L972" s="12"/>
      <c r="M972" s="10"/>
      <c r="N972" s="14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customFormat="false" ht="15.75" hidden="false" customHeight="true" outlineLevel="0" collapsed="false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2"/>
      <c r="L973" s="12"/>
      <c r="M973" s="10"/>
      <c r="N973" s="14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customFormat="false" ht="15.75" hidden="false" customHeight="true" outlineLevel="0" collapsed="false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2"/>
      <c r="L974" s="12"/>
      <c r="M974" s="10"/>
      <c r="N974" s="14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customFormat="false" ht="15.75" hidden="false" customHeight="true" outlineLevel="0" collapsed="false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2"/>
      <c r="L975" s="12"/>
      <c r="M975" s="10"/>
      <c r="N975" s="14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customFormat="false" ht="15.75" hidden="false" customHeight="true" outlineLevel="0" collapsed="false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2"/>
      <c r="L976" s="12"/>
      <c r="M976" s="10"/>
      <c r="N976" s="14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customFormat="false" ht="15.75" hidden="false" customHeight="true" outlineLevel="0" collapsed="false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2"/>
      <c r="L977" s="12"/>
      <c r="M977" s="10"/>
      <c r="N977" s="14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customFormat="false" ht="15.75" hidden="false" customHeight="true" outlineLevel="0" collapsed="false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2"/>
      <c r="L978" s="12"/>
      <c r="M978" s="10"/>
      <c r="N978" s="14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customFormat="false" ht="15.75" hidden="false" customHeight="true" outlineLevel="0" collapsed="false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2"/>
      <c r="L979" s="12"/>
      <c r="M979" s="10"/>
      <c r="N979" s="14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customFormat="false" ht="15.75" hidden="false" customHeight="true" outlineLevel="0" collapsed="false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2"/>
      <c r="L980" s="12"/>
      <c r="M980" s="10"/>
      <c r="N980" s="14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customFormat="false" ht="15.75" hidden="false" customHeight="true" outlineLevel="0" collapsed="false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2"/>
      <c r="L981" s="12"/>
      <c r="M981" s="10"/>
      <c r="N981" s="14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customFormat="false" ht="15.75" hidden="false" customHeight="true" outlineLevel="0" collapsed="false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2"/>
      <c r="L982" s="12"/>
      <c r="M982" s="10"/>
      <c r="N982" s="14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customFormat="false" ht="15.75" hidden="false" customHeight="true" outlineLevel="0" collapsed="false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2"/>
      <c r="L983" s="12"/>
      <c r="M983" s="10"/>
      <c r="N983" s="14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customFormat="false" ht="15.75" hidden="false" customHeight="true" outlineLevel="0" collapsed="false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2"/>
      <c r="L984" s="12"/>
      <c r="M984" s="10"/>
      <c r="N984" s="14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customFormat="false" ht="15.75" hidden="false" customHeight="true" outlineLevel="0" collapsed="false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2"/>
      <c r="L985" s="12"/>
      <c r="M985" s="10"/>
      <c r="N985" s="14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customFormat="false" ht="15.75" hidden="false" customHeight="true" outlineLevel="0" collapsed="false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2"/>
      <c r="L986" s="12"/>
      <c r="M986" s="10"/>
      <c r="N986" s="14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customFormat="false" ht="15.75" hidden="false" customHeight="true" outlineLevel="0" collapsed="false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2"/>
      <c r="L987" s="12"/>
      <c r="M987" s="10"/>
      <c r="N987" s="14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customFormat="false" ht="15.75" hidden="false" customHeight="true" outlineLevel="0" collapsed="false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2"/>
      <c r="L988" s="12"/>
      <c r="M988" s="10"/>
      <c r="N988" s="14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customFormat="false" ht="15.75" hidden="false" customHeight="true" outlineLevel="0" collapsed="false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2"/>
      <c r="L989" s="12"/>
      <c r="M989" s="10"/>
      <c r="N989" s="14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customFormat="false" ht="15.75" hidden="false" customHeight="true" outlineLevel="0" collapsed="false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2"/>
      <c r="L990" s="12"/>
      <c r="M990" s="10"/>
      <c r="N990" s="14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customFormat="false" ht="15.75" hidden="false" customHeight="true" outlineLevel="0" collapsed="false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2"/>
      <c r="L991" s="12"/>
      <c r="M991" s="10"/>
      <c r="N991" s="14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customFormat="false" ht="15.75" hidden="false" customHeight="true" outlineLevel="0" collapsed="false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2"/>
      <c r="L992" s="12"/>
      <c r="M992" s="10"/>
      <c r="N992" s="14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customFormat="false" ht="15.75" hidden="false" customHeight="true" outlineLevel="0" collapsed="false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2"/>
      <c r="L993" s="12"/>
      <c r="M993" s="10"/>
      <c r="N993" s="14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customFormat="false" ht="15.75" hidden="false" customHeight="true" outlineLevel="0" collapsed="false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2"/>
      <c r="L994" s="12"/>
      <c r="M994" s="10"/>
      <c r="N994" s="14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customFormat="false" ht="15.75" hidden="false" customHeight="true" outlineLevel="0" collapsed="false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2"/>
      <c r="L995" s="12"/>
      <c r="M995" s="10"/>
      <c r="N995" s="14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customFormat="false" ht="15.75" hidden="false" customHeight="true" outlineLevel="0" collapsed="false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2"/>
      <c r="L996" s="12"/>
      <c r="M996" s="10"/>
      <c r="N996" s="14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customFormat="false" ht="15.75" hidden="false" customHeight="true" outlineLevel="0" collapsed="false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2"/>
      <c r="L997" s="12"/>
      <c r="M997" s="10"/>
      <c r="N997" s="14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customFormat="false" ht="15.75" hidden="false" customHeight="true" outlineLevel="0" collapsed="false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2"/>
      <c r="L998" s="12"/>
      <c r="M998" s="10"/>
      <c r="N998" s="14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customFormat="false" ht="15.75" hidden="false" customHeight="true" outlineLevel="0" collapsed="false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2"/>
      <c r="L999" s="12"/>
      <c r="M999" s="10"/>
      <c r="N999" s="14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customFormat="false" ht="15.75" hidden="false" customHeight="true" outlineLevel="0" collapsed="false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2"/>
      <c r="L1000" s="12"/>
      <c r="M1000" s="10"/>
      <c r="N1000" s="14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  <row r="1001" customFormat="false" ht="15.75" hidden="false" customHeight="true" outlineLevel="0" collapsed="false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2"/>
      <c r="L1001" s="12"/>
      <c r="M1001" s="10"/>
      <c r="N1001" s="14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</row>
    <row r="1002" customFormat="false" ht="15.75" hidden="false" customHeight="true" outlineLevel="0" collapsed="false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2"/>
      <c r="L1002" s="12"/>
      <c r="M1002" s="10"/>
      <c r="N1002" s="14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</row>
    <row r="1003" customFormat="false" ht="15.75" hidden="false" customHeight="true" outlineLevel="0" collapsed="false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2"/>
      <c r="L1003" s="12"/>
      <c r="M1003" s="10"/>
      <c r="N1003" s="14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</row>
    <row r="1004" customFormat="false" ht="15.75" hidden="false" customHeight="true" outlineLevel="0" collapsed="false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2"/>
      <c r="L1004" s="12"/>
      <c r="M1004" s="10"/>
      <c r="N1004" s="14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</row>
    <row r="1005" customFormat="false" ht="15.75" hidden="false" customHeight="true" outlineLevel="0" collapsed="false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2"/>
      <c r="L1005" s="12"/>
      <c r="M1005" s="10"/>
      <c r="N1005" s="14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</row>
    <row r="1006" customFormat="false" ht="15.75" hidden="false" customHeight="true" outlineLevel="0" collapsed="false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2"/>
      <c r="L1006" s="12"/>
      <c r="M1006" s="10"/>
      <c r="N1006" s="14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</row>
    <row r="1007" customFormat="false" ht="15.75" hidden="false" customHeight="true" outlineLevel="0" collapsed="false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2"/>
      <c r="L1007" s="12"/>
      <c r="M1007" s="10"/>
      <c r="N1007" s="14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</row>
    <row r="1008" customFormat="false" ht="15.75" hidden="false" customHeight="true" outlineLevel="0" collapsed="false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2"/>
      <c r="L1008" s="12"/>
      <c r="M1008" s="10"/>
      <c r="N1008" s="14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</row>
    <row r="1009" customFormat="false" ht="15.75" hidden="false" customHeight="true" outlineLevel="0" collapsed="false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2"/>
      <c r="L1009" s="12"/>
      <c r="M1009" s="10"/>
      <c r="N1009" s="14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</row>
    <row r="1010" customFormat="false" ht="15.75" hidden="false" customHeight="true" outlineLevel="0" collapsed="false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2"/>
      <c r="L1010" s="12"/>
      <c r="M1010" s="10"/>
      <c r="N1010" s="14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</row>
    <row r="1011" customFormat="false" ht="15.75" hidden="false" customHeight="true" outlineLevel="0" collapsed="false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2"/>
      <c r="L1011" s="12"/>
      <c r="M1011" s="10"/>
      <c r="N1011" s="14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</row>
    <row r="1012" customFormat="false" ht="15.75" hidden="false" customHeight="true" outlineLevel="0" collapsed="false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2"/>
      <c r="L1012" s="12"/>
      <c r="M1012" s="10"/>
      <c r="N1012" s="14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</row>
    <row r="1013" customFormat="false" ht="15.75" hidden="false" customHeight="true" outlineLevel="0" collapsed="false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  <c r="K1013" s="12"/>
      <c r="L1013" s="12"/>
      <c r="M1013" s="10"/>
      <c r="N1013" s="14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</row>
    <row r="1014" customFormat="false" ht="15.75" hidden="false" customHeight="true" outlineLevel="0" collapsed="false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  <c r="K1014" s="12"/>
      <c r="L1014" s="12"/>
      <c r="M1014" s="10"/>
      <c r="N1014" s="14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</row>
    <row r="1015" customFormat="false" ht="15.75" hidden="false" customHeight="true" outlineLevel="0" collapsed="false">
      <c r="A1015" s="10"/>
      <c r="B1015" s="10"/>
      <c r="C1015" s="10"/>
      <c r="D1015" s="10"/>
      <c r="E1015" s="10"/>
      <c r="F1015" s="10"/>
      <c r="G1015" s="10"/>
      <c r="H1015" s="10"/>
      <c r="I1015" s="10"/>
      <c r="J1015" s="10"/>
      <c r="K1015" s="12"/>
      <c r="L1015" s="12"/>
      <c r="M1015" s="10"/>
      <c r="N1015" s="14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</row>
    <row r="1016" customFormat="false" ht="15.75" hidden="false" customHeight="true" outlineLevel="0" collapsed="false">
      <c r="A1016" s="10"/>
      <c r="B1016" s="10"/>
      <c r="C1016" s="10"/>
      <c r="D1016" s="10"/>
      <c r="E1016" s="10"/>
      <c r="F1016" s="10"/>
      <c r="G1016" s="10"/>
      <c r="H1016" s="10"/>
      <c r="I1016" s="10"/>
      <c r="J1016" s="10"/>
      <c r="K1016" s="12"/>
      <c r="L1016" s="12"/>
      <c r="M1016" s="10"/>
      <c r="N1016" s="14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</row>
    <row r="1017" customFormat="false" ht="15.75" hidden="false" customHeight="true" outlineLevel="0" collapsed="false">
      <c r="A1017" s="10"/>
      <c r="B1017" s="10"/>
      <c r="C1017" s="10"/>
      <c r="D1017" s="10"/>
      <c r="E1017" s="10"/>
      <c r="F1017" s="10"/>
      <c r="G1017" s="10"/>
      <c r="H1017" s="10"/>
      <c r="I1017" s="10"/>
      <c r="J1017" s="10"/>
      <c r="K1017" s="12"/>
      <c r="L1017" s="12"/>
      <c r="M1017" s="10"/>
      <c r="N1017" s="14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</row>
    <row r="1018" customFormat="false" ht="15.75" hidden="false" customHeight="true" outlineLevel="0" collapsed="false">
      <c r="A1018" s="10"/>
      <c r="B1018" s="10"/>
      <c r="C1018" s="10"/>
      <c r="D1018" s="10"/>
      <c r="E1018" s="10"/>
      <c r="F1018" s="10"/>
      <c r="G1018" s="10"/>
      <c r="H1018" s="10"/>
      <c r="I1018" s="10"/>
      <c r="J1018" s="10"/>
      <c r="K1018" s="12"/>
      <c r="L1018" s="12"/>
      <c r="M1018" s="10"/>
      <c r="N1018" s="14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</row>
    <row r="1019" customFormat="false" ht="15.75" hidden="false" customHeight="true" outlineLevel="0" collapsed="false">
      <c r="A1019" s="10"/>
      <c r="B1019" s="10"/>
      <c r="C1019" s="10"/>
      <c r="D1019" s="10"/>
      <c r="E1019" s="10"/>
      <c r="F1019" s="10"/>
      <c r="G1019" s="10"/>
      <c r="H1019" s="10"/>
      <c r="I1019" s="10"/>
      <c r="J1019" s="10"/>
      <c r="K1019" s="12"/>
      <c r="L1019" s="12"/>
      <c r="M1019" s="10"/>
      <c r="N1019" s="14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</row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86</TotalTime>
  <Application>LibreOffice/25.2.7.1$Windows_X86_64 LibreOffice_project/16e8e36d1610f10597ed778c3dcb0a5aa0ed5d6f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2026-06-16T12:18:23Z</dcterms:created>
  <dc:creator>Waldelaine Hoffmann</dc:creator>
  <dc:description/>
  <dc:language>pt-BR</dc:language>
  <cp:lastModifiedBy/>
  <dcterms:modified xsi:type="dcterms:W3CDTF">2026-07-09T06:44:35Z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