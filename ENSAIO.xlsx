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Área de Trabalho\"/>
    </mc:Choice>
  </mc:AlternateContent>
  <xr:revisionPtr revIDLastSave="0" documentId="8_{B1118394-3C59-4AA7-BBB9-C7F5DD7BF1BC}" xr6:coauthVersionLast="47" xr6:coauthVersionMax="47" xr10:uidLastSave="{00000000-0000-0000-0000-000000000000}"/>
  <bookViews>
    <workbookView xWindow="-120" yWindow="-120" windowWidth="20730" windowHeight="11160" xr2:uid="{19E17DE1-D820-4703-A468-1E9D9847D9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8" i="1" l="1"/>
  <c r="N52" i="1"/>
  <c r="N49" i="1"/>
  <c r="N46" i="1"/>
  <c r="N43" i="1"/>
  <c r="N37" i="1"/>
  <c r="N34" i="1"/>
  <c r="N31" i="1"/>
  <c r="N28" i="1"/>
  <c r="N25" i="1"/>
  <c r="N19" i="1"/>
  <c r="N16" i="1"/>
  <c r="N13" i="1"/>
  <c r="N4" i="1"/>
  <c r="N10" i="1"/>
  <c r="N7" i="1"/>
  <c r="N40" i="1"/>
  <c r="N22" i="1"/>
  <c r="N55" i="1"/>
  <c r="N24" i="1"/>
  <c r="N26" i="1"/>
  <c r="N27" i="1"/>
  <c r="N29" i="1"/>
  <c r="N30" i="1"/>
  <c r="N32" i="1"/>
  <c r="N33" i="1"/>
  <c r="N35" i="1"/>
  <c r="N36" i="1"/>
  <c r="N38" i="1"/>
  <c r="N39" i="1"/>
  <c r="N41" i="1"/>
  <c r="N42" i="1"/>
  <c r="N44" i="1"/>
  <c r="N45" i="1"/>
  <c r="N47" i="1"/>
  <c r="N48" i="1"/>
  <c r="N50" i="1"/>
  <c r="N51" i="1"/>
  <c r="N53" i="1"/>
  <c r="N54" i="1"/>
  <c r="N56" i="1"/>
  <c r="N57" i="1"/>
  <c r="N18" i="1"/>
  <c r="N20" i="1"/>
  <c r="N21" i="1"/>
  <c r="N23" i="1"/>
  <c r="N3" i="1"/>
  <c r="N5" i="1"/>
  <c r="N6" i="1"/>
  <c r="N8" i="1"/>
  <c r="N9" i="1"/>
  <c r="N11" i="1"/>
  <c r="N12" i="1"/>
  <c r="N14" i="1"/>
  <c r="N15" i="1"/>
  <c r="N17" i="1"/>
  <c r="N2" i="1"/>
</calcChain>
</file>

<file path=xl/sharedStrings.xml><?xml version="1.0" encoding="utf-8"?>
<sst xmlns="http://schemas.openxmlformats.org/spreadsheetml/2006/main" count="109" uniqueCount="71">
  <si>
    <t>Espécie</t>
  </si>
  <si>
    <t>Rep</t>
  </si>
  <si>
    <t>MAD820</t>
  </si>
  <si>
    <t>L1 (mm)</t>
  </si>
  <si>
    <t>R1 (mm)</t>
  </si>
  <si>
    <t>R2(mm)</t>
  </si>
  <si>
    <t>MAD803</t>
  </si>
  <si>
    <t>Massa Pos ensaio (g)</t>
  </si>
  <si>
    <t>Tensão</t>
  </si>
  <si>
    <t>Massa (g) seca</t>
  </si>
  <si>
    <t>Massa (g) densidade ap</t>
  </si>
  <si>
    <t>Carga Max (kgf)</t>
  </si>
  <si>
    <t>MAD817</t>
  </si>
  <si>
    <t>MAD810</t>
  </si>
  <si>
    <t>Força MOR (MPa)</t>
  </si>
  <si>
    <t>MAD802</t>
  </si>
  <si>
    <t>MAD813</t>
  </si>
  <si>
    <t>MAD818</t>
  </si>
  <si>
    <t>MAD815</t>
  </si>
  <si>
    <t>MAD812</t>
  </si>
  <si>
    <t>MAD804</t>
  </si>
  <si>
    <t>MAD811</t>
  </si>
  <si>
    <t>MAD816</t>
  </si>
  <si>
    <t>Observação</t>
  </si>
  <si>
    <t>MAD823</t>
  </si>
  <si>
    <t>Tamarindo</t>
  </si>
  <si>
    <t>MAD819</t>
  </si>
  <si>
    <t>Caxeta</t>
  </si>
  <si>
    <t>Canela</t>
  </si>
  <si>
    <t>Cataúba</t>
  </si>
  <si>
    <t>1ª</t>
  </si>
  <si>
    <t>2ª</t>
  </si>
  <si>
    <t>3ª</t>
  </si>
  <si>
    <t>4ª</t>
  </si>
  <si>
    <t>Tauari Branco</t>
  </si>
  <si>
    <t>5ª</t>
  </si>
  <si>
    <t>Roxinho</t>
  </si>
  <si>
    <t>6ª</t>
  </si>
  <si>
    <t>Peroba</t>
  </si>
  <si>
    <t>7ª</t>
  </si>
  <si>
    <t>Guariúba</t>
  </si>
  <si>
    <t>8ª</t>
  </si>
  <si>
    <t>Anglim Amagoso</t>
  </si>
  <si>
    <t>9ª</t>
  </si>
  <si>
    <t>10ª</t>
  </si>
  <si>
    <t>11ª</t>
  </si>
  <si>
    <t>Uxi</t>
  </si>
  <si>
    <t>12ª</t>
  </si>
  <si>
    <t>13ª</t>
  </si>
  <si>
    <t>14ª</t>
  </si>
  <si>
    <t>15ª</t>
  </si>
  <si>
    <t>16ª</t>
  </si>
  <si>
    <t>17ª</t>
  </si>
  <si>
    <t>18ª</t>
  </si>
  <si>
    <t>19ª</t>
  </si>
  <si>
    <t>MAD805</t>
  </si>
  <si>
    <t>Caucho</t>
  </si>
  <si>
    <t>Ipe</t>
  </si>
  <si>
    <t>MAD801</t>
  </si>
  <si>
    <t>Jatobá</t>
  </si>
  <si>
    <t>MAD809</t>
  </si>
  <si>
    <t>MAD807</t>
  </si>
  <si>
    <t>Abiurana</t>
  </si>
  <si>
    <t>Cumaru</t>
  </si>
  <si>
    <t>Cedro</t>
  </si>
  <si>
    <t>MAD808</t>
  </si>
  <si>
    <t>Garapeira</t>
  </si>
  <si>
    <t>No MOE vamos pegar o trecho elastico da 2 e o MOR pegamos da 2.1</t>
  </si>
  <si>
    <t>Data</t>
  </si>
  <si>
    <t>Angelim Pedra</t>
  </si>
  <si>
    <t>Angelim coco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</si>
</sst>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3" fillId="0" borderId="0" xfId="0" applyFont="1" applyAlignment="1">
      <alignment horizontal="center" wrapText="1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F38E-B3FC-4958-B2AB-D2B5E55CBBED}">
  <dimension ref="A1:Q58"/>
  <sheetViews>
    <sheetView tabSelected="1" zoomScale="104" workbookViewId="0">
      <pane ySplit="1" topLeftCell="A44" activePane="bottomLeft" state="frozen"/>
      <selection pane="bottomLeft" activeCell="M48" sqref="M48"/>
    </sheetView>
  </sheetViews>
  <sheetFormatPr defaultRowHeight="15" x14ac:dyDescent="0.25"/>
  <cols>
    <col min="1" max="1" width="4.140625" style="1" bestFit="1" customWidth="1"/>
    <col min="2" max="2" width="16" style="1" bestFit="1" customWidth="1"/>
    <col min="3" max="3" width="8.28515625" style="1" bestFit="1" customWidth="1"/>
    <col min="4" max="4" width="4.5703125" style="1" bestFit="1" customWidth="1"/>
    <col min="5" max="5" width="6.5703125" style="1" bestFit="1" customWidth="1"/>
    <col min="6" max="6" width="8.5703125" style="1" bestFit="1" customWidth="1"/>
    <col min="7" max="7" width="8.140625" style="1" bestFit="1" customWidth="1"/>
    <col min="8" max="8" width="8.28515625" style="1" bestFit="1" customWidth="1"/>
    <col min="9" max="9" width="17.85546875" style="1" customWidth="1"/>
    <col min="10" max="10" width="8.5703125" style="1" customWidth="1"/>
    <col min="11" max="11" width="11.28515625" style="1" customWidth="1"/>
    <col min="12" max="12" width="17.5703125" style="1" customWidth="1"/>
    <col min="13" max="13" width="14.42578125" style="1" bestFit="1" customWidth="1"/>
    <col min="14" max="14" width="17.28515625" style="1" customWidth="1"/>
    <col min="15" max="15" width="11.7109375" style="1" customWidth="1"/>
    <col min="16" max="16384" width="9.140625" style="1"/>
  </cols>
  <sheetData>
    <row r="1" spans="1:15" x14ac:dyDescent="0.25">
      <c r="C1" s="2" t="s">
        <v>0</v>
      </c>
      <c r="D1" s="2" t="s">
        <v>1</v>
      </c>
      <c r="E1" s="2" t="s">
        <v>68</v>
      </c>
      <c r="F1" s="2" t="s">
        <v>4</v>
      </c>
      <c r="G1" s="2" t="s">
        <v>5</v>
      </c>
      <c r="H1" s="2" t="s">
        <v>3</v>
      </c>
      <c r="I1" s="2" t="s">
        <v>10</v>
      </c>
      <c r="J1" s="2" t="s">
        <v>14</v>
      </c>
      <c r="K1" s="2" t="s">
        <v>11</v>
      </c>
      <c r="L1" s="2" t="s">
        <v>7</v>
      </c>
      <c r="M1" s="2" t="s">
        <v>9</v>
      </c>
      <c r="N1" s="2" t="s">
        <v>8</v>
      </c>
      <c r="O1" s="2" t="s">
        <v>23</v>
      </c>
    </row>
    <row r="2" spans="1:15" x14ac:dyDescent="0.25">
      <c r="A2" s="1" t="s">
        <v>30</v>
      </c>
      <c r="B2" s="1" t="s">
        <v>27</v>
      </c>
      <c r="C2" s="1" t="s">
        <v>26</v>
      </c>
      <c r="D2" s="1">
        <v>1</v>
      </c>
      <c r="E2" s="7">
        <v>46189</v>
      </c>
      <c r="F2" s="3">
        <v>25.34</v>
      </c>
      <c r="G2" s="3">
        <v>24.74</v>
      </c>
      <c r="H2" s="3">
        <v>30.41</v>
      </c>
      <c r="I2" s="3">
        <v>7.63</v>
      </c>
      <c r="J2" s="3">
        <v>27.1</v>
      </c>
      <c r="K2" s="1">
        <v>1727</v>
      </c>
      <c r="L2" s="3">
        <v>7.65</v>
      </c>
      <c r="M2" s="3"/>
      <c r="N2" s="1">
        <f>J2/(F2*G2)</f>
        <v>4.3227785225221554E-2</v>
      </c>
    </row>
    <row r="3" spans="1:15" x14ac:dyDescent="0.25">
      <c r="C3" s="1" t="s">
        <v>26</v>
      </c>
      <c r="D3" s="1">
        <v>2</v>
      </c>
      <c r="E3" s="7">
        <v>46189</v>
      </c>
      <c r="F3" s="3">
        <v>26.65</v>
      </c>
      <c r="G3" s="3">
        <v>24.85</v>
      </c>
      <c r="H3" s="3">
        <v>30.59</v>
      </c>
      <c r="I3" s="3">
        <v>8.02</v>
      </c>
      <c r="J3" s="3">
        <v>27.6</v>
      </c>
      <c r="K3" s="1">
        <v>1869</v>
      </c>
      <c r="L3" s="3">
        <v>8.0299999999999994</v>
      </c>
      <c r="M3" s="3"/>
      <c r="N3" s="1">
        <f t="shared" ref="N3:N58" si="0">J3/(F3*G3)</f>
        <v>4.1675946863167751E-2</v>
      </c>
    </row>
    <row r="4" spans="1:15" x14ac:dyDescent="0.25">
      <c r="C4" s="1" t="s">
        <v>26</v>
      </c>
      <c r="D4" s="1">
        <v>3</v>
      </c>
      <c r="E4" s="7">
        <v>46191</v>
      </c>
      <c r="F4" s="3">
        <v>25.44</v>
      </c>
      <c r="G4" s="3">
        <v>24.18</v>
      </c>
      <c r="H4" s="3">
        <v>30.48</v>
      </c>
      <c r="I4" s="3">
        <v>7.57</v>
      </c>
      <c r="J4" s="3">
        <v>25.9</v>
      </c>
      <c r="K4" s="1">
        <v>1623</v>
      </c>
      <c r="L4" s="3">
        <v>7.53</v>
      </c>
      <c r="M4" s="3"/>
      <c r="N4" s="1">
        <f t="shared" si="0"/>
        <v>4.2104291191327095E-2</v>
      </c>
    </row>
    <row r="5" spans="1:15" x14ac:dyDescent="0.25">
      <c r="A5" s="1" t="s">
        <v>31</v>
      </c>
      <c r="B5" s="1" t="s">
        <v>28</v>
      </c>
      <c r="C5" s="1" t="s">
        <v>6</v>
      </c>
      <c r="D5" s="1">
        <v>1</v>
      </c>
      <c r="E5" s="7">
        <v>46189</v>
      </c>
      <c r="F5" s="3">
        <v>24.52</v>
      </c>
      <c r="G5" s="3">
        <v>25.35</v>
      </c>
      <c r="H5" s="3">
        <v>30.47</v>
      </c>
      <c r="I5" s="3">
        <v>13.5</v>
      </c>
      <c r="J5" s="3">
        <v>57.5</v>
      </c>
      <c r="K5" s="1">
        <v>3648</v>
      </c>
      <c r="L5" s="3">
        <v>13.49</v>
      </c>
      <c r="M5" s="3"/>
      <c r="N5" s="1">
        <f t="shared" si="0"/>
        <v>9.2505896245386771E-2</v>
      </c>
    </row>
    <row r="6" spans="1:15" x14ac:dyDescent="0.25">
      <c r="C6" s="1" t="s">
        <v>6</v>
      </c>
      <c r="D6" s="1">
        <v>2</v>
      </c>
      <c r="E6" s="7">
        <v>46189</v>
      </c>
      <c r="F6" s="3">
        <v>25.6</v>
      </c>
      <c r="G6" s="3">
        <v>24.49</v>
      </c>
      <c r="H6" s="3">
        <v>30.44</v>
      </c>
      <c r="I6" s="3">
        <v>11.99</v>
      </c>
      <c r="J6" s="3">
        <v>55.6</v>
      </c>
      <c r="K6" s="1">
        <v>3557</v>
      </c>
      <c r="L6" s="3">
        <v>12.02</v>
      </c>
      <c r="M6" s="3"/>
      <c r="N6" s="1">
        <f t="shared" si="0"/>
        <v>8.8684156798693348E-2</v>
      </c>
    </row>
    <row r="7" spans="1:15" x14ac:dyDescent="0.25">
      <c r="C7" s="1" t="s">
        <v>6</v>
      </c>
      <c r="D7" s="1">
        <v>3</v>
      </c>
      <c r="E7" s="7">
        <v>46191</v>
      </c>
      <c r="F7" s="3">
        <v>25.33</v>
      </c>
      <c r="G7" s="3">
        <v>24.57</v>
      </c>
      <c r="H7" s="3">
        <v>30.47</v>
      </c>
      <c r="I7" s="3">
        <v>12.82</v>
      </c>
      <c r="J7" s="3">
        <v>60.6</v>
      </c>
      <c r="K7" s="1">
        <v>3844</v>
      </c>
      <c r="L7" s="3">
        <v>12.82</v>
      </c>
      <c r="M7" s="3"/>
      <c r="N7" s="1">
        <f t="shared" si="0"/>
        <v>9.737159362110015E-2</v>
      </c>
    </row>
    <row r="8" spans="1:15" x14ac:dyDescent="0.25">
      <c r="A8" s="1" t="s">
        <v>32</v>
      </c>
      <c r="B8" s="1" t="s">
        <v>29</v>
      </c>
      <c r="C8" s="1" t="s">
        <v>12</v>
      </c>
      <c r="D8" s="1">
        <v>1</v>
      </c>
      <c r="E8" s="7">
        <v>46189</v>
      </c>
      <c r="F8" s="3">
        <v>25.67</v>
      </c>
      <c r="G8" s="3">
        <v>24.83</v>
      </c>
      <c r="H8" s="3">
        <v>30.58</v>
      </c>
      <c r="I8" s="3">
        <v>12.75</v>
      </c>
      <c r="J8" s="3">
        <v>34.9</v>
      </c>
      <c r="K8" s="1">
        <v>2598</v>
      </c>
      <c r="L8" s="3">
        <v>12.73</v>
      </c>
      <c r="M8" s="3"/>
      <c r="N8" s="1">
        <f t="shared" si="0"/>
        <v>5.4754880911271835E-2</v>
      </c>
    </row>
    <row r="9" spans="1:15" x14ac:dyDescent="0.25">
      <c r="C9" s="1" t="s">
        <v>12</v>
      </c>
      <c r="D9" s="1">
        <v>2</v>
      </c>
      <c r="E9" s="7">
        <v>46189</v>
      </c>
      <c r="F9" s="3">
        <v>24.94</v>
      </c>
      <c r="G9" s="3">
        <v>26.12</v>
      </c>
      <c r="H9" s="3">
        <v>30.55</v>
      </c>
      <c r="I9" s="3">
        <v>12.02</v>
      </c>
      <c r="J9" s="3">
        <v>42.8</v>
      </c>
      <c r="K9" s="1">
        <v>2836</v>
      </c>
      <c r="L9" s="3">
        <v>12.02</v>
      </c>
      <c r="M9" s="3"/>
      <c r="N9" s="1">
        <f t="shared" si="0"/>
        <v>6.5701327903660969E-2</v>
      </c>
    </row>
    <row r="10" spans="1:15" x14ac:dyDescent="0.25">
      <c r="C10" s="1" t="s">
        <v>12</v>
      </c>
      <c r="D10" s="1">
        <v>3</v>
      </c>
      <c r="E10" s="7">
        <v>46191</v>
      </c>
      <c r="F10" s="3">
        <v>24.85</v>
      </c>
      <c r="G10" s="3">
        <v>25.14</v>
      </c>
      <c r="H10" s="3">
        <v>30.49</v>
      </c>
      <c r="I10" s="3">
        <v>13.47</v>
      </c>
      <c r="J10" s="3">
        <v>48.6</v>
      </c>
      <c r="K10" s="1">
        <v>3098</v>
      </c>
      <c r="L10" s="3">
        <v>13.45</v>
      </c>
      <c r="M10" s="3"/>
      <c r="N10" s="1">
        <f t="shared" si="0"/>
        <v>7.7793731361918528E-2</v>
      </c>
    </row>
    <row r="11" spans="1:15" x14ac:dyDescent="0.25">
      <c r="A11" s="1" t="s">
        <v>33</v>
      </c>
      <c r="B11" s="1" t="s">
        <v>34</v>
      </c>
      <c r="C11" s="1" t="s">
        <v>13</v>
      </c>
      <c r="D11" s="1">
        <v>1</v>
      </c>
      <c r="E11" s="7">
        <v>46189</v>
      </c>
      <c r="F11" s="3">
        <v>25.22</v>
      </c>
      <c r="G11" s="3">
        <v>24.88</v>
      </c>
      <c r="H11" s="3">
        <v>30.54</v>
      </c>
      <c r="I11" s="3">
        <v>14.89</v>
      </c>
      <c r="J11" s="3">
        <v>55.1</v>
      </c>
      <c r="K11" s="1">
        <v>3526</v>
      </c>
      <c r="L11" s="3">
        <v>14.9</v>
      </c>
      <c r="M11" s="3"/>
      <c r="N11" s="1">
        <f t="shared" si="0"/>
        <v>8.7812459360840062E-2</v>
      </c>
    </row>
    <row r="12" spans="1:15" x14ac:dyDescent="0.25">
      <c r="C12" s="1" t="s">
        <v>13</v>
      </c>
      <c r="D12" s="1">
        <v>2</v>
      </c>
      <c r="E12" s="7">
        <v>46189</v>
      </c>
      <c r="F12" s="3">
        <v>24.36</v>
      </c>
      <c r="G12" s="3">
        <v>25.27</v>
      </c>
      <c r="H12" s="3">
        <v>30.56</v>
      </c>
      <c r="I12" s="3">
        <v>16.190000000000001</v>
      </c>
      <c r="J12" s="3">
        <v>67.099999999999994</v>
      </c>
      <c r="K12" s="1">
        <v>4226</v>
      </c>
      <c r="L12" s="3">
        <v>16.2</v>
      </c>
      <c r="M12" s="3"/>
      <c r="N12" s="1">
        <f t="shared" si="0"/>
        <v>0.10900338738991633</v>
      </c>
    </row>
    <row r="13" spans="1:15" x14ac:dyDescent="0.25">
      <c r="C13" s="1" t="s">
        <v>13</v>
      </c>
      <c r="D13" s="1">
        <v>3</v>
      </c>
      <c r="E13" s="7">
        <v>46191</v>
      </c>
      <c r="F13" s="3">
        <v>24.92</v>
      </c>
      <c r="G13" s="3">
        <v>24.71</v>
      </c>
      <c r="H13" s="3">
        <v>30.42</v>
      </c>
      <c r="I13" s="3">
        <v>15.36</v>
      </c>
      <c r="J13" s="3">
        <v>53.2</v>
      </c>
      <c r="K13" s="1">
        <v>3702</v>
      </c>
      <c r="L13" s="3">
        <v>15.35</v>
      </c>
      <c r="M13" s="3"/>
      <c r="N13" s="1">
        <f t="shared" si="0"/>
        <v>8.6395445595878473E-2</v>
      </c>
    </row>
    <row r="14" spans="1:15" x14ac:dyDescent="0.25">
      <c r="A14" s="1" t="s">
        <v>35</v>
      </c>
      <c r="B14" s="1" t="s">
        <v>36</v>
      </c>
      <c r="C14" s="1" t="s">
        <v>15</v>
      </c>
      <c r="D14" s="1">
        <v>1</v>
      </c>
      <c r="E14" s="7">
        <v>46189</v>
      </c>
      <c r="F14" s="3">
        <v>26.18</v>
      </c>
      <c r="G14" s="3">
        <v>25.03</v>
      </c>
      <c r="H14" s="3">
        <v>30.53</v>
      </c>
      <c r="I14" s="3">
        <v>22.15</v>
      </c>
      <c r="J14" s="3">
        <v>79.5</v>
      </c>
      <c r="K14" s="1">
        <v>5311</v>
      </c>
      <c r="L14" s="3">
        <v>22.12</v>
      </c>
      <c r="M14" s="3"/>
      <c r="N14" s="1">
        <f t="shared" si="0"/>
        <v>0.12132118310586502</v>
      </c>
    </row>
    <row r="15" spans="1:15" x14ac:dyDescent="0.25">
      <c r="C15" s="1" t="s">
        <v>15</v>
      </c>
      <c r="D15" s="1">
        <v>2</v>
      </c>
      <c r="E15" s="7">
        <v>46189</v>
      </c>
      <c r="F15" s="3">
        <v>25.25</v>
      </c>
      <c r="G15" s="3">
        <v>24.79</v>
      </c>
      <c r="H15" s="3">
        <v>30.48</v>
      </c>
      <c r="I15" s="3">
        <v>21.54</v>
      </c>
      <c r="J15" s="3">
        <v>88.9</v>
      </c>
      <c r="K15" s="1">
        <v>5690</v>
      </c>
      <c r="L15" s="3">
        <v>21.55</v>
      </c>
      <c r="M15" s="3"/>
      <c r="N15" s="1">
        <f t="shared" si="0"/>
        <v>0.14202469056909725</v>
      </c>
    </row>
    <row r="16" spans="1:15" x14ac:dyDescent="0.25">
      <c r="C16" s="1" t="s">
        <v>15</v>
      </c>
      <c r="D16" s="1">
        <v>3</v>
      </c>
      <c r="E16" s="7">
        <v>46191</v>
      </c>
      <c r="F16" s="3">
        <v>25.35</v>
      </c>
      <c r="G16" s="3">
        <v>24.88</v>
      </c>
      <c r="H16" s="3">
        <v>30.5</v>
      </c>
      <c r="I16" s="3">
        <v>21.87</v>
      </c>
      <c r="J16" s="3">
        <v>92</v>
      </c>
      <c r="K16" s="1">
        <v>5487</v>
      </c>
      <c r="L16" s="3">
        <v>21.88</v>
      </c>
      <c r="M16" s="3"/>
      <c r="N16" s="1">
        <f t="shared" si="0"/>
        <v>0.14586781838822405</v>
      </c>
    </row>
    <row r="17" spans="1:17" x14ac:dyDescent="0.25">
      <c r="A17" s="1" t="s">
        <v>37</v>
      </c>
      <c r="B17" s="1" t="s">
        <v>38</v>
      </c>
      <c r="C17" s="1" t="s">
        <v>16</v>
      </c>
      <c r="D17" s="1">
        <v>1</v>
      </c>
      <c r="E17" s="7">
        <v>46189</v>
      </c>
      <c r="F17" s="3">
        <v>24.3</v>
      </c>
      <c r="G17" s="3">
        <v>26.01</v>
      </c>
      <c r="H17" s="3">
        <v>30.46</v>
      </c>
      <c r="I17" s="3">
        <v>17.84</v>
      </c>
      <c r="J17" s="3">
        <v>68.7</v>
      </c>
      <c r="K17" s="1">
        <v>4423</v>
      </c>
      <c r="L17" s="3">
        <v>17.850000000000001</v>
      </c>
      <c r="M17" s="3"/>
      <c r="N17" s="1">
        <f t="shared" si="0"/>
        <v>0.10869513624864131</v>
      </c>
    </row>
    <row r="18" spans="1:17" x14ac:dyDescent="0.25">
      <c r="C18" s="1" t="s">
        <v>16</v>
      </c>
      <c r="D18" s="1">
        <v>2</v>
      </c>
      <c r="E18" s="7">
        <v>46189</v>
      </c>
      <c r="F18" s="3">
        <v>24.48</v>
      </c>
      <c r="G18" s="3">
        <v>24.87</v>
      </c>
      <c r="H18" s="3">
        <v>30.53</v>
      </c>
      <c r="I18" s="3">
        <v>18.68</v>
      </c>
      <c r="J18" s="3">
        <v>71.5</v>
      </c>
      <c r="K18" s="1">
        <v>4450</v>
      </c>
      <c r="L18" s="3">
        <v>18.649999999999999</v>
      </c>
      <c r="M18" s="3"/>
      <c r="N18" s="1">
        <f>J18/(F18*G18)</f>
        <v>0.11744075729742372</v>
      </c>
    </row>
    <row r="19" spans="1:17" x14ac:dyDescent="0.25">
      <c r="C19" s="1" t="s">
        <v>16</v>
      </c>
      <c r="D19" s="1">
        <v>3</v>
      </c>
      <c r="E19" s="7">
        <v>46191</v>
      </c>
      <c r="F19" s="3">
        <v>25.47</v>
      </c>
      <c r="G19" s="3">
        <v>24.76</v>
      </c>
      <c r="H19" s="3">
        <v>30.54</v>
      </c>
      <c r="I19" s="3">
        <v>17.66</v>
      </c>
      <c r="J19" s="3">
        <v>80</v>
      </c>
      <c r="K19" s="1">
        <v>5160</v>
      </c>
      <c r="L19" s="3">
        <v>17.649999999999999</v>
      </c>
      <c r="M19" s="3"/>
      <c r="N19" s="1">
        <f>J19/(F19*G19)</f>
        <v>0.12685582138192927</v>
      </c>
    </row>
    <row r="20" spans="1:17" x14ac:dyDescent="0.25">
      <c r="A20" s="1" t="s">
        <v>39</v>
      </c>
      <c r="B20" s="1" t="s">
        <v>40</v>
      </c>
      <c r="C20" s="1" t="s">
        <v>17</v>
      </c>
      <c r="D20" s="1">
        <v>1</v>
      </c>
      <c r="E20" s="7">
        <v>46189</v>
      </c>
      <c r="F20" s="3">
        <v>24.78</v>
      </c>
      <c r="G20" s="3">
        <v>25.95</v>
      </c>
      <c r="H20" s="3">
        <v>30.48</v>
      </c>
      <c r="I20" s="3">
        <v>14.25</v>
      </c>
      <c r="J20" s="3">
        <v>56.7</v>
      </c>
      <c r="K20" s="1">
        <v>3728</v>
      </c>
      <c r="L20" s="3">
        <v>14.24</v>
      </c>
      <c r="M20" s="3"/>
      <c r="N20" s="1">
        <f t="shared" si="0"/>
        <v>8.8174782012344466E-2</v>
      </c>
    </row>
    <row r="21" spans="1:17" x14ac:dyDescent="0.25">
      <c r="C21" s="1" t="s">
        <v>17</v>
      </c>
      <c r="D21" s="1">
        <v>2</v>
      </c>
      <c r="E21" s="7">
        <v>46189</v>
      </c>
      <c r="F21" s="3">
        <v>26</v>
      </c>
      <c r="G21" s="3">
        <v>24.86</v>
      </c>
      <c r="H21" s="3">
        <v>30.35</v>
      </c>
      <c r="I21" s="3">
        <v>13.46</v>
      </c>
      <c r="J21" s="3">
        <v>50.1</v>
      </c>
      <c r="K21" s="1">
        <v>3309</v>
      </c>
      <c r="L21" s="3">
        <v>13.42</v>
      </c>
      <c r="M21" s="3"/>
      <c r="N21" s="1">
        <f t="shared" si="0"/>
        <v>7.7510984590630605E-2</v>
      </c>
    </row>
    <row r="22" spans="1:17" x14ac:dyDescent="0.25">
      <c r="C22" s="1" t="s">
        <v>17</v>
      </c>
      <c r="D22" s="1">
        <v>3</v>
      </c>
      <c r="E22" s="7">
        <v>46191</v>
      </c>
      <c r="F22" s="3">
        <v>24.72</v>
      </c>
      <c r="G22" s="3">
        <v>25.3</v>
      </c>
      <c r="H22" s="3">
        <v>30.56</v>
      </c>
      <c r="I22" s="3">
        <v>12.72</v>
      </c>
      <c r="J22" s="3">
        <v>54</v>
      </c>
      <c r="K22" s="1">
        <v>3440</v>
      </c>
      <c r="L22" s="3">
        <v>12.66</v>
      </c>
      <c r="M22" s="3"/>
      <c r="N22" s="1">
        <f t="shared" si="0"/>
        <v>8.6342530411757948E-2</v>
      </c>
    </row>
    <row r="23" spans="1:17" x14ac:dyDescent="0.25">
      <c r="A23" s="1" t="s">
        <v>41</v>
      </c>
      <c r="B23" s="1" t="s">
        <v>42</v>
      </c>
      <c r="C23" s="1" t="s">
        <v>18</v>
      </c>
      <c r="D23" s="1">
        <v>1</v>
      </c>
      <c r="E23" s="7">
        <v>46189</v>
      </c>
      <c r="F23" s="3">
        <v>25.62</v>
      </c>
      <c r="G23" s="3">
        <v>23.3</v>
      </c>
      <c r="H23" s="3">
        <v>30.51</v>
      </c>
      <c r="I23" s="3">
        <v>16.27</v>
      </c>
      <c r="J23" s="3">
        <v>61.4</v>
      </c>
      <c r="K23" s="1">
        <v>3734</v>
      </c>
      <c r="L23" s="3">
        <v>16.27</v>
      </c>
      <c r="M23" s="3"/>
      <c r="N23" s="1">
        <f t="shared" si="0"/>
        <v>0.10285687482619868</v>
      </c>
    </row>
    <row r="24" spans="1:17" x14ac:dyDescent="0.25">
      <c r="C24" s="1" t="s">
        <v>18</v>
      </c>
      <c r="D24" s="1">
        <v>2</v>
      </c>
      <c r="E24" s="7">
        <v>46189</v>
      </c>
      <c r="F24" s="3">
        <v>26.48</v>
      </c>
      <c r="G24" s="3">
        <v>24.16</v>
      </c>
      <c r="H24" s="3">
        <v>30.5</v>
      </c>
      <c r="I24" s="3">
        <v>16.18</v>
      </c>
      <c r="J24" s="3">
        <v>63.2</v>
      </c>
      <c r="K24" s="1">
        <v>4132</v>
      </c>
      <c r="L24" s="3">
        <v>16.190000000000001</v>
      </c>
      <c r="M24" s="3"/>
      <c r="N24" s="1">
        <f t="shared" si="0"/>
        <v>9.8787539264920676E-2</v>
      </c>
    </row>
    <row r="25" spans="1:17" x14ac:dyDescent="0.25">
      <c r="C25" s="1" t="s">
        <v>18</v>
      </c>
      <c r="D25" s="1">
        <v>3</v>
      </c>
      <c r="E25" s="7">
        <v>46191</v>
      </c>
      <c r="F25" s="3">
        <v>25.41</v>
      </c>
      <c r="G25" s="3">
        <v>23.94</v>
      </c>
      <c r="H25" s="3">
        <v>30.58</v>
      </c>
      <c r="I25" s="3">
        <v>14.02</v>
      </c>
      <c r="J25" s="3">
        <v>61.7</v>
      </c>
      <c r="K25" s="1">
        <v>3819</v>
      </c>
      <c r="L25" s="3">
        <v>14.08</v>
      </c>
      <c r="M25" s="3"/>
      <c r="N25" s="1">
        <f t="shared" si="0"/>
        <v>0.10142764756572001</v>
      </c>
    </row>
    <row r="26" spans="1:17" x14ac:dyDescent="0.25">
      <c r="A26" s="1" t="s">
        <v>43</v>
      </c>
      <c r="B26" s="1" t="s">
        <v>69</v>
      </c>
      <c r="C26" s="1" t="s">
        <v>19</v>
      </c>
      <c r="D26" s="1">
        <v>1</v>
      </c>
      <c r="E26" s="7">
        <v>46189</v>
      </c>
      <c r="F26" s="3">
        <v>25.68</v>
      </c>
      <c r="G26" s="3">
        <v>24.42</v>
      </c>
      <c r="H26" s="3">
        <v>30.35</v>
      </c>
      <c r="I26" s="3">
        <v>18.88</v>
      </c>
      <c r="J26" s="3">
        <v>85.2</v>
      </c>
      <c r="K26" s="1">
        <v>5448</v>
      </c>
      <c r="L26" s="3">
        <v>18.88</v>
      </c>
      <c r="M26" s="3"/>
      <c r="N26" s="1">
        <f t="shared" si="0"/>
        <v>0.13586228539499567</v>
      </c>
    </row>
    <row r="27" spans="1:17" x14ac:dyDescent="0.25">
      <c r="C27" s="1" t="s">
        <v>19</v>
      </c>
      <c r="D27" s="1">
        <v>2</v>
      </c>
      <c r="E27" s="7">
        <v>46189</v>
      </c>
      <c r="F27" s="3">
        <v>25.53</v>
      </c>
      <c r="G27" s="3">
        <v>24.31</v>
      </c>
      <c r="H27" s="3">
        <v>30.43</v>
      </c>
      <c r="I27" s="3">
        <v>17.809999999999999</v>
      </c>
      <c r="J27" s="3">
        <v>66.099999999999994</v>
      </c>
      <c r="K27" s="1">
        <v>4178</v>
      </c>
      <c r="L27" s="3">
        <v>17.8</v>
      </c>
      <c r="M27" s="3"/>
      <c r="N27" s="1">
        <f t="shared" si="0"/>
        <v>0.10650394282107838</v>
      </c>
      <c r="O27" s="6" t="s">
        <v>67</v>
      </c>
    </row>
    <row r="28" spans="1:17" x14ac:dyDescent="0.25">
      <c r="C28" s="1" t="s">
        <v>19</v>
      </c>
      <c r="D28" s="1">
        <v>3</v>
      </c>
      <c r="E28" s="7">
        <v>46191</v>
      </c>
      <c r="F28" s="3">
        <v>24.46</v>
      </c>
      <c r="G28" s="3">
        <v>25.4</v>
      </c>
      <c r="H28" s="3">
        <v>30.52</v>
      </c>
      <c r="I28" s="3">
        <v>12.79</v>
      </c>
      <c r="J28" s="3">
        <v>56.1</v>
      </c>
      <c r="K28" s="1">
        <v>3434</v>
      </c>
      <c r="L28" s="3">
        <v>19.77</v>
      </c>
      <c r="M28" s="3"/>
      <c r="N28" s="1">
        <f t="shared" si="0"/>
        <v>9.0296869064711155E-2</v>
      </c>
      <c r="O28" s="6"/>
    </row>
    <row r="29" spans="1:17" s="4" customFormat="1" x14ac:dyDescent="0.25">
      <c r="A29" s="4" t="s">
        <v>44</v>
      </c>
      <c r="B29" s="4" t="s">
        <v>25</v>
      </c>
      <c r="C29" s="4" t="s">
        <v>20</v>
      </c>
      <c r="D29" s="4">
        <v>1</v>
      </c>
      <c r="E29" s="7">
        <v>46189</v>
      </c>
      <c r="F29" s="5">
        <v>25.2</v>
      </c>
      <c r="G29" s="5">
        <v>24.4</v>
      </c>
      <c r="H29" s="5">
        <v>30.31</v>
      </c>
      <c r="I29" s="5">
        <v>19.600000000000001</v>
      </c>
      <c r="J29" s="5">
        <v>110.4</v>
      </c>
      <c r="K29" s="4">
        <v>6922</v>
      </c>
      <c r="L29" s="4">
        <v>19.62</v>
      </c>
      <c r="M29" s="5"/>
      <c r="N29" s="1">
        <f t="shared" si="0"/>
        <v>0.1795472287275566</v>
      </c>
      <c r="O29" s="6"/>
      <c r="Q29" s="5"/>
    </row>
    <row r="30" spans="1:17" s="4" customFormat="1" x14ac:dyDescent="0.25">
      <c r="C30" s="4" t="s">
        <v>20</v>
      </c>
      <c r="D30" s="4">
        <v>2</v>
      </c>
      <c r="E30" s="7">
        <v>46189</v>
      </c>
      <c r="F30" s="5">
        <v>24.71</v>
      </c>
      <c r="G30" s="5">
        <v>25.65</v>
      </c>
      <c r="H30" s="5">
        <v>30.36</v>
      </c>
      <c r="I30" s="5">
        <v>18.98</v>
      </c>
      <c r="J30" s="5">
        <v>107.4</v>
      </c>
      <c r="K30" s="4">
        <v>6953</v>
      </c>
      <c r="L30" s="4">
        <v>18.98</v>
      </c>
      <c r="M30" s="5"/>
      <c r="N30" s="1">
        <f t="shared" si="0"/>
        <v>0.16945101185447092</v>
      </c>
      <c r="O30" s="6"/>
    </row>
    <row r="31" spans="1:17" s="4" customFormat="1" x14ac:dyDescent="0.25">
      <c r="C31" s="4" t="s">
        <v>20</v>
      </c>
      <c r="D31" s="1">
        <v>3</v>
      </c>
      <c r="E31" s="7">
        <v>46191</v>
      </c>
      <c r="F31" s="5">
        <v>25.57</v>
      </c>
      <c r="G31" s="5">
        <v>24.56</v>
      </c>
      <c r="H31" s="5">
        <v>30.29</v>
      </c>
      <c r="I31" s="5">
        <v>18.95</v>
      </c>
      <c r="J31" s="5">
        <v>109</v>
      </c>
      <c r="K31" s="4">
        <v>7001</v>
      </c>
      <c r="L31" s="4">
        <v>18.98</v>
      </c>
      <c r="M31" s="5"/>
      <c r="N31" s="1">
        <f t="shared" si="0"/>
        <v>0.17356710008547782</v>
      </c>
      <c r="O31" s="6"/>
    </row>
    <row r="32" spans="1:17" x14ac:dyDescent="0.25">
      <c r="A32" s="1" t="s">
        <v>45</v>
      </c>
      <c r="B32" s="1" t="s">
        <v>46</v>
      </c>
      <c r="C32" s="1" t="s">
        <v>21</v>
      </c>
      <c r="D32" s="1">
        <v>1</v>
      </c>
      <c r="E32" s="7">
        <v>46189</v>
      </c>
      <c r="F32" s="3">
        <v>24.99</v>
      </c>
      <c r="G32" s="3">
        <v>25.61</v>
      </c>
      <c r="H32" s="3">
        <v>30.21</v>
      </c>
      <c r="I32" s="3">
        <v>15.98</v>
      </c>
      <c r="J32" s="3">
        <v>45.2</v>
      </c>
      <c r="K32" s="1">
        <v>2951</v>
      </c>
      <c r="L32" s="1">
        <v>15.96</v>
      </c>
      <c r="N32" s="1">
        <f t="shared" si="0"/>
        <v>7.0625673150947227E-2</v>
      </c>
      <c r="O32" s="6"/>
    </row>
    <row r="33" spans="1:14" x14ac:dyDescent="0.25">
      <c r="C33" s="1" t="s">
        <v>21</v>
      </c>
      <c r="D33" s="1">
        <v>2</v>
      </c>
      <c r="E33" s="7">
        <v>46189</v>
      </c>
      <c r="F33" s="3">
        <v>25.19</v>
      </c>
      <c r="G33" s="3">
        <v>24.92</v>
      </c>
      <c r="H33" s="3">
        <v>30.56</v>
      </c>
      <c r="I33" s="3">
        <v>15</v>
      </c>
      <c r="J33" s="3">
        <v>38.5</v>
      </c>
      <c r="K33" s="1">
        <v>2463</v>
      </c>
      <c r="L33" s="1">
        <v>14.96</v>
      </c>
      <c r="N33" s="1">
        <f t="shared" si="0"/>
        <v>6.1331632402728022E-2</v>
      </c>
    </row>
    <row r="34" spans="1:14" x14ac:dyDescent="0.25">
      <c r="C34" s="1" t="s">
        <v>21</v>
      </c>
      <c r="D34" s="1">
        <v>3</v>
      </c>
      <c r="E34" s="7">
        <v>46191</v>
      </c>
      <c r="F34" s="3">
        <v>24.92</v>
      </c>
      <c r="G34" s="3">
        <v>25.88</v>
      </c>
      <c r="H34" s="3">
        <v>30.26</v>
      </c>
      <c r="I34" s="3">
        <v>16.61</v>
      </c>
      <c r="J34" s="3">
        <v>51.5</v>
      </c>
      <c r="K34" s="1">
        <v>3386</v>
      </c>
      <c r="L34" s="1">
        <v>16.63</v>
      </c>
      <c r="N34" s="1">
        <f t="shared" si="0"/>
        <v>7.9853677052503083E-2</v>
      </c>
    </row>
    <row r="35" spans="1:14" x14ac:dyDescent="0.25">
      <c r="A35" s="1" t="s">
        <v>47</v>
      </c>
      <c r="B35" s="1" t="s">
        <v>70</v>
      </c>
      <c r="C35" s="1" t="s">
        <v>22</v>
      </c>
      <c r="D35" s="1">
        <v>1</v>
      </c>
      <c r="E35" s="7">
        <v>46189</v>
      </c>
      <c r="F35" s="3">
        <v>24.72</v>
      </c>
      <c r="G35" s="3">
        <v>25.7</v>
      </c>
      <c r="H35" s="3">
        <v>30.41</v>
      </c>
      <c r="I35" s="3">
        <v>15.32</v>
      </c>
      <c r="J35" s="3">
        <v>62.1</v>
      </c>
      <c r="K35" s="1">
        <v>4018</v>
      </c>
      <c r="L35" s="3">
        <v>15.3</v>
      </c>
      <c r="N35" s="1">
        <f t="shared" si="0"/>
        <v>9.7748479468097171E-2</v>
      </c>
    </row>
    <row r="36" spans="1:14" x14ac:dyDescent="0.25">
      <c r="C36" s="1" t="s">
        <v>22</v>
      </c>
      <c r="D36" s="1">
        <v>2</v>
      </c>
      <c r="E36" s="7">
        <v>46189</v>
      </c>
      <c r="F36" s="3">
        <v>24.82</v>
      </c>
      <c r="G36" s="3">
        <v>25.2</v>
      </c>
      <c r="H36" s="3">
        <v>30.24</v>
      </c>
      <c r="I36" s="3">
        <v>15.62</v>
      </c>
      <c r="J36" s="3">
        <v>63.3</v>
      </c>
      <c r="K36" s="1">
        <v>4031</v>
      </c>
      <c r="L36" s="1">
        <v>15.63</v>
      </c>
      <c r="N36" s="1">
        <f t="shared" si="0"/>
        <v>0.10120486550784698</v>
      </c>
    </row>
    <row r="37" spans="1:14" x14ac:dyDescent="0.25">
      <c r="C37" s="1" t="s">
        <v>22</v>
      </c>
      <c r="D37" s="1">
        <v>3</v>
      </c>
      <c r="E37" s="7">
        <v>46191</v>
      </c>
      <c r="F37" s="3">
        <v>24.94</v>
      </c>
      <c r="G37" s="3">
        <v>25.41</v>
      </c>
      <c r="H37" s="3">
        <v>30.42</v>
      </c>
      <c r="I37" s="3">
        <v>16.91</v>
      </c>
      <c r="J37" s="3">
        <v>62.9</v>
      </c>
      <c r="K37" s="1">
        <v>4058</v>
      </c>
      <c r="L37" s="3">
        <v>16.899999999999999</v>
      </c>
      <c r="N37" s="1">
        <f t="shared" si="0"/>
        <v>9.9254345809715053E-2</v>
      </c>
    </row>
    <row r="38" spans="1:14" x14ac:dyDescent="0.25">
      <c r="A38" s="1" t="s">
        <v>48</v>
      </c>
      <c r="B38" s="1" t="s">
        <v>62</v>
      </c>
      <c r="C38" s="1" t="s">
        <v>24</v>
      </c>
      <c r="D38" s="1">
        <v>1</v>
      </c>
      <c r="E38" s="7">
        <v>46189</v>
      </c>
      <c r="F38" s="3">
        <v>25.14</v>
      </c>
      <c r="G38" s="3">
        <v>24.74</v>
      </c>
      <c r="H38" s="3">
        <v>30.35</v>
      </c>
      <c r="I38" s="3">
        <v>19.45</v>
      </c>
      <c r="J38" s="3">
        <v>71.099999999999994</v>
      </c>
      <c r="K38" s="1">
        <v>4497</v>
      </c>
      <c r="L38" s="1">
        <v>19.440000000000001</v>
      </c>
      <c r="N38" s="1">
        <f t="shared" si="0"/>
        <v>0.11431537151048711</v>
      </c>
    </row>
    <row r="39" spans="1:14" x14ac:dyDescent="0.25">
      <c r="C39" s="1" t="s">
        <v>24</v>
      </c>
      <c r="D39" s="1">
        <v>2</v>
      </c>
      <c r="E39" s="7">
        <v>46189</v>
      </c>
      <c r="F39" s="3">
        <v>26.45</v>
      </c>
      <c r="G39" s="3">
        <v>24.79</v>
      </c>
      <c r="H39" s="3">
        <v>30.69</v>
      </c>
      <c r="I39" s="3">
        <v>19.899999999999999</v>
      </c>
      <c r="J39" s="3">
        <v>64.599999999999994</v>
      </c>
      <c r="K39" s="1">
        <v>4328</v>
      </c>
      <c r="L39" s="1">
        <v>19.88</v>
      </c>
      <c r="N39" s="1">
        <f t="shared" si="0"/>
        <v>9.852134107981525E-2</v>
      </c>
    </row>
    <row r="40" spans="1:14" x14ac:dyDescent="0.25">
      <c r="C40" s="1" t="s">
        <v>24</v>
      </c>
      <c r="D40" s="1">
        <v>3</v>
      </c>
      <c r="E40" s="7">
        <v>46191</v>
      </c>
      <c r="F40" s="3">
        <v>25.69</v>
      </c>
      <c r="G40" s="3">
        <v>25.23</v>
      </c>
      <c r="H40" s="3">
        <v>30.52</v>
      </c>
      <c r="I40" s="3">
        <v>20.079999999999998</v>
      </c>
      <c r="J40" s="3">
        <v>72.7</v>
      </c>
      <c r="K40" s="1">
        <v>4801</v>
      </c>
      <c r="L40" s="1">
        <v>20.149999999999999</v>
      </c>
      <c r="N40" s="1">
        <f t="shared" si="0"/>
        <v>0.11216388825761345</v>
      </c>
    </row>
    <row r="41" spans="1:14" x14ac:dyDescent="0.25">
      <c r="A41" s="1" t="s">
        <v>49</v>
      </c>
      <c r="B41" s="1" t="s">
        <v>56</v>
      </c>
      <c r="C41" s="1" t="s">
        <v>55</v>
      </c>
      <c r="D41" s="1">
        <v>1</v>
      </c>
      <c r="E41" s="7">
        <v>46189</v>
      </c>
      <c r="F41" s="3">
        <v>24.04</v>
      </c>
      <c r="G41" s="3">
        <v>25.41</v>
      </c>
      <c r="H41" s="3">
        <v>30.54</v>
      </c>
      <c r="I41" s="3">
        <v>8.9</v>
      </c>
      <c r="J41" s="3">
        <v>33.700000000000003</v>
      </c>
      <c r="K41" s="1">
        <v>2095</v>
      </c>
      <c r="L41" s="3">
        <v>8.9</v>
      </c>
      <c r="N41" s="1">
        <f t="shared" si="0"/>
        <v>5.5168448754895592E-2</v>
      </c>
    </row>
    <row r="42" spans="1:14" x14ac:dyDescent="0.25">
      <c r="C42" s="1" t="s">
        <v>55</v>
      </c>
      <c r="D42" s="1">
        <v>2</v>
      </c>
      <c r="E42" s="7">
        <v>46189</v>
      </c>
      <c r="F42" s="3">
        <v>25.44</v>
      </c>
      <c r="G42" s="3">
        <v>24.1</v>
      </c>
      <c r="H42" s="3">
        <v>30.5</v>
      </c>
      <c r="I42" s="3">
        <v>9.1</v>
      </c>
      <c r="J42" s="3">
        <v>37.5</v>
      </c>
      <c r="K42" s="1">
        <v>2340</v>
      </c>
      <c r="L42" s="3">
        <v>9.1</v>
      </c>
      <c r="N42" s="1">
        <f t="shared" si="0"/>
        <v>6.1164174430439207E-2</v>
      </c>
    </row>
    <row r="43" spans="1:14" x14ac:dyDescent="0.25">
      <c r="C43" s="1" t="s">
        <v>55</v>
      </c>
      <c r="D43" s="1">
        <v>3</v>
      </c>
      <c r="E43" s="7">
        <v>46191</v>
      </c>
      <c r="F43" s="3">
        <v>24.22</v>
      </c>
      <c r="G43" s="3">
        <v>25.02</v>
      </c>
      <c r="H43" s="3">
        <v>30.25</v>
      </c>
      <c r="I43" s="3">
        <v>8.5299999999999994</v>
      </c>
      <c r="J43" s="3">
        <v>28.8</v>
      </c>
      <c r="K43" s="1">
        <v>1776</v>
      </c>
      <c r="L43" s="3">
        <v>8.51</v>
      </c>
      <c r="N43" s="1">
        <f t="shared" si="0"/>
        <v>4.7525975916211709E-2</v>
      </c>
    </row>
    <row r="44" spans="1:14" x14ac:dyDescent="0.25">
      <c r="A44" s="1" t="s">
        <v>50</v>
      </c>
      <c r="B44" s="1" t="s">
        <v>57</v>
      </c>
      <c r="C44" s="1" t="s">
        <v>58</v>
      </c>
      <c r="D44" s="1">
        <v>1</v>
      </c>
      <c r="E44" s="7">
        <v>46189</v>
      </c>
      <c r="F44" s="3">
        <v>24.63</v>
      </c>
      <c r="G44" s="3">
        <v>25.25</v>
      </c>
      <c r="H44" s="3">
        <v>30.51</v>
      </c>
      <c r="I44" s="3">
        <v>21.13</v>
      </c>
      <c r="J44" s="3">
        <v>84.5</v>
      </c>
      <c r="K44" s="1">
        <v>5364</v>
      </c>
      <c r="L44" s="1">
        <v>19.940000000000001</v>
      </c>
      <c r="N44" s="1">
        <f t="shared" si="0"/>
        <v>0.13587229612120774</v>
      </c>
    </row>
    <row r="45" spans="1:14" x14ac:dyDescent="0.25">
      <c r="C45" s="1" t="s">
        <v>58</v>
      </c>
      <c r="D45" s="1">
        <v>2</v>
      </c>
      <c r="E45" s="7">
        <v>46189</v>
      </c>
      <c r="F45" s="1">
        <v>25.31</v>
      </c>
      <c r="G45" s="1">
        <v>25.01</v>
      </c>
      <c r="H45" s="1">
        <v>30.44</v>
      </c>
      <c r="I45" s="1">
        <v>19.95</v>
      </c>
      <c r="J45" s="3">
        <v>89.5</v>
      </c>
      <c r="K45" s="1">
        <v>5775</v>
      </c>
      <c r="L45" s="1">
        <v>21.12</v>
      </c>
      <c r="N45" s="1">
        <f t="shared" si="0"/>
        <v>0.14138951294235366</v>
      </c>
    </row>
    <row r="46" spans="1:14" x14ac:dyDescent="0.25">
      <c r="C46" s="1" t="s">
        <v>58</v>
      </c>
      <c r="D46" s="1">
        <v>3</v>
      </c>
      <c r="E46" s="7">
        <v>46191</v>
      </c>
      <c r="F46" s="1">
        <v>25.33</v>
      </c>
      <c r="G46" s="1">
        <v>26.52</v>
      </c>
      <c r="H46" s="1">
        <v>30.34</v>
      </c>
      <c r="I46" s="1">
        <v>21.98</v>
      </c>
      <c r="J46" s="3">
        <v>91.3</v>
      </c>
      <c r="K46" s="1">
        <v>6239</v>
      </c>
      <c r="L46" s="1">
        <v>21.95</v>
      </c>
      <c r="N46" s="1">
        <f t="shared" si="0"/>
        <v>0.13591333463143221</v>
      </c>
    </row>
    <row r="47" spans="1:14" x14ac:dyDescent="0.25">
      <c r="A47" s="1" t="s">
        <v>51</v>
      </c>
      <c r="B47" s="1" t="s">
        <v>59</v>
      </c>
      <c r="C47" s="1" t="s">
        <v>60</v>
      </c>
      <c r="D47" s="1">
        <v>1</v>
      </c>
      <c r="E47" s="7">
        <v>46189</v>
      </c>
      <c r="F47" s="1">
        <v>25.08</v>
      </c>
      <c r="G47" s="1">
        <v>24.37</v>
      </c>
      <c r="H47" s="1">
        <v>30.5</v>
      </c>
      <c r="I47" s="1">
        <v>19.079999999999998</v>
      </c>
      <c r="J47" s="3">
        <v>63.9</v>
      </c>
      <c r="K47" s="1">
        <v>3992</v>
      </c>
      <c r="L47" s="1">
        <v>19.04</v>
      </c>
      <c r="N47" s="1">
        <f t="shared" si="0"/>
        <v>0.10454849774116344</v>
      </c>
    </row>
    <row r="48" spans="1:14" x14ac:dyDescent="0.25">
      <c r="C48" s="1" t="s">
        <v>60</v>
      </c>
      <c r="D48" s="1">
        <v>2</v>
      </c>
      <c r="E48" s="7">
        <v>46189</v>
      </c>
      <c r="F48" s="1">
        <v>25.02</v>
      </c>
      <c r="G48" s="1">
        <v>24.49</v>
      </c>
      <c r="H48" s="1">
        <v>30.5</v>
      </c>
      <c r="I48" s="1">
        <v>19.05</v>
      </c>
      <c r="J48" s="3">
        <v>65.7</v>
      </c>
      <c r="K48" s="1">
        <v>4103</v>
      </c>
      <c r="L48" s="1">
        <v>19.059999999999999</v>
      </c>
      <c r="N48" s="1">
        <f t="shared" si="0"/>
        <v>0.10722332709577541</v>
      </c>
    </row>
    <row r="49" spans="1:14" x14ac:dyDescent="0.25">
      <c r="C49" s="1" t="s">
        <v>60</v>
      </c>
      <c r="D49" s="1">
        <v>3</v>
      </c>
      <c r="E49" s="7">
        <v>46191</v>
      </c>
      <c r="F49" s="1">
        <v>24.55</v>
      </c>
      <c r="G49" s="1">
        <v>24.89</v>
      </c>
      <c r="H49" s="1">
        <v>30.48</v>
      </c>
      <c r="I49" s="1">
        <v>20.05</v>
      </c>
      <c r="J49" s="3">
        <v>74.900000000000006</v>
      </c>
      <c r="K49" s="1">
        <v>4679</v>
      </c>
      <c r="L49" s="1">
        <v>20.02</v>
      </c>
      <c r="N49" s="1">
        <f t="shared" si="0"/>
        <v>0.12257599425251145</v>
      </c>
    </row>
    <row r="50" spans="1:14" x14ac:dyDescent="0.25">
      <c r="A50" s="1" t="s">
        <v>52</v>
      </c>
      <c r="B50" s="1" t="s">
        <v>63</v>
      </c>
      <c r="C50" s="1" t="s">
        <v>61</v>
      </c>
      <c r="D50" s="1">
        <v>1</v>
      </c>
      <c r="E50" s="7">
        <v>46189</v>
      </c>
      <c r="F50" s="1">
        <v>24.72</v>
      </c>
      <c r="G50" s="1">
        <v>25.28</v>
      </c>
      <c r="H50" s="1">
        <v>30.42</v>
      </c>
      <c r="I50" s="1">
        <v>22.39</v>
      </c>
      <c r="J50" s="1">
        <v>122.4</v>
      </c>
      <c r="K50" s="1">
        <v>7797</v>
      </c>
      <c r="L50" s="1">
        <v>22.38</v>
      </c>
      <c r="N50" s="1">
        <f t="shared" si="0"/>
        <v>0.19586456925156692</v>
      </c>
    </row>
    <row r="51" spans="1:14" x14ac:dyDescent="0.25">
      <c r="C51" s="1" t="s">
        <v>61</v>
      </c>
      <c r="D51" s="1">
        <v>2</v>
      </c>
      <c r="E51" s="7">
        <v>46191</v>
      </c>
      <c r="F51" s="1">
        <v>25.39</v>
      </c>
      <c r="G51" s="1">
        <v>24.68</v>
      </c>
      <c r="H51" s="1">
        <v>30.13</v>
      </c>
      <c r="I51" s="1">
        <v>23.32</v>
      </c>
      <c r="J51" s="1">
        <v>113.5</v>
      </c>
      <c r="K51" s="1">
        <v>7261</v>
      </c>
      <c r="L51" s="1">
        <v>23.31</v>
      </c>
      <c r="N51" s="1">
        <f t="shared" si="0"/>
        <v>0.18112900662150197</v>
      </c>
    </row>
    <row r="52" spans="1:14" x14ac:dyDescent="0.25">
      <c r="C52" s="1" t="s">
        <v>61</v>
      </c>
      <c r="D52" s="1">
        <v>3</v>
      </c>
      <c r="E52" s="7">
        <v>46191</v>
      </c>
      <c r="F52" s="1">
        <v>25.93</v>
      </c>
      <c r="G52" s="1">
        <v>24.76</v>
      </c>
      <c r="H52" s="1">
        <v>30.39</v>
      </c>
      <c r="I52" s="1">
        <v>22.54</v>
      </c>
      <c r="J52" s="3">
        <v>97.5</v>
      </c>
      <c r="K52" s="1">
        <v>6388</v>
      </c>
      <c r="L52" s="1">
        <v>22.55</v>
      </c>
      <c r="N52" s="1">
        <f t="shared" si="0"/>
        <v>0.15186281943370589</v>
      </c>
    </row>
    <row r="53" spans="1:14" x14ac:dyDescent="0.25">
      <c r="A53" s="1" t="s">
        <v>53</v>
      </c>
      <c r="B53" s="1" t="s">
        <v>64</v>
      </c>
      <c r="C53" s="1" t="s">
        <v>65</v>
      </c>
      <c r="D53" s="1">
        <v>1</v>
      </c>
      <c r="E53" s="7">
        <v>46191</v>
      </c>
      <c r="F53" s="1">
        <v>25.71</v>
      </c>
      <c r="G53" s="1">
        <v>24.44</v>
      </c>
      <c r="H53" s="1">
        <v>30.6</v>
      </c>
      <c r="I53" s="3">
        <v>10.1</v>
      </c>
      <c r="J53" s="3">
        <v>27.3</v>
      </c>
      <c r="K53" s="1">
        <v>1744</v>
      </c>
      <c r="L53" s="1">
        <v>10.08</v>
      </c>
      <c r="N53" s="1">
        <f t="shared" si="0"/>
        <v>4.3446957471635336E-2</v>
      </c>
    </row>
    <row r="54" spans="1:14" x14ac:dyDescent="0.25">
      <c r="C54" s="1" t="s">
        <v>65</v>
      </c>
      <c r="D54" s="1">
        <v>2</v>
      </c>
      <c r="E54" s="7">
        <v>46191</v>
      </c>
      <c r="F54" s="1">
        <v>25.45</v>
      </c>
      <c r="G54" s="1">
        <v>25.15</v>
      </c>
      <c r="H54" s="1">
        <v>30.45</v>
      </c>
      <c r="I54" s="1">
        <v>10.17</v>
      </c>
      <c r="J54" s="3">
        <v>27.2</v>
      </c>
      <c r="K54" s="1">
        <v>1784</v>
      </c>
      <c r="L54" s="1">
        <v>10.14</v>
      </c>
      <c r="N54" s="1">
        <f t="shared" si="0"/>
        <v>4.2495518050830579E-2</v>
      </c>
    </row>
    <row r="55" spans="1:14" x14ac:dyDescent="0.25">
      <c r="C55" s="1" t="s">
        <v>65</v>
      </c>
      <c r="D55" s="1">
        <v>3</v>
      </c>
      <c r="E55" s="7">
        <v>46191</v>
      </c>
      <c r="F55" s="1">
        <v>26.19</v>
      </c>
      <c r="G55" s="1">
        <v>25.02</v>
      </c>
      <c r="H55" s="1">
        <v>30.7</v>
      </c>
      <c r="I55" s="1">
        <v>10.23</v>
      </c>
      <c r="J55" s="3">
        <v>21.1</v>
      </c>
      <c r="K55" s="1">
        <v>1409</v>
      </c>
      <c r="L55" s="1">
        <v>10.210000000000001</v>
      </c>
      <c r="N55" s="1">
        <f t="shared" si="0"/>
        <v>3.2200280249263739E-2</v>
      </c>
    </row>
    <row r="56" spans="1:14" x14ac:dyDescent="0.25">
      <c r="A56" s="1" t="s">
        <v>54</v>
      </c>
      <c r="B56" s="1" t="s">
        <v>66</v>
      </c>
      <c r="C56" s="1" t="s">
        <v>2</v>
      </c>
      <c r="D56" s="1">
        <v>1</v>
      </c>
      <c r="E56" s="7">
        <v>46191</v>
      </c>
      <c r="F56" s="1">
        <v>24.41</v>
      </c>
      <c r="G56" s="1">
        <v>25.32</v>
      </c>
      <c r="H56" s="1">
        <v>30.61</v>
      </c>
      <c r="I56" s="1">
        <v>15.99</v>
      </c>
      <c r="J56" s="3">
        <v>73.599999999999994</v>
      </c>
      <c r="K56" s="1">
        <v>4636</v>
      </c>
      <c r="L56" s="1">
        <v>15.97</v>
      </c>
      <c r="N56" s="1">
        <f t="shared" si="0"/>
        <v>0.11908205854048109</v>
      </c>
    </row>
    <row r="57" spans="1:14" x14ac:dyDescent="0.25">
      <c r="C57" s="1" t="s">
        <v>2</v>
      </c>
      <c r="D57" s="1">
        <v>2</v>
      </c>
      <c r="E57" s="7">
        <v>46191</v>
      </c>
      <c r="F57" s="1">
        <v>24.96</v>
      </c>
      <c r="G57" s="1">
        <v>24.96</v>
      </c>
      <c r="H57" s="1">
        <v>30.49</v>
      </c>
      <c r="I57" s="3">
        <v>15.5</v>
      </c>
      <c r="J57" s="3">
        <v>63.3</v>
      </c>
      <c r="K57" s="1">
        <v>4035</v>
      </c>
      <c r="L57" s="1">
        <v>15.47</v>
      </c>
      <c r="N57" s="1">
        <f t="shared" si="0"/>
        <v>0.10160487549309663</v>
      </c>
    </row>
    <row r="58" spans="1:14" x14ac:dyDescent="0.25">
      <c r="C58" s="1" t="s">
        <v>2</v>
      </c>
      <c r="D58" s="1">
        <v>3</v>
      </c>
      <c r="E58" s="7">
        <v>46191</v>
      </c>
      <c r="F58" s="1">
        <v>24.95</v>
      </c>
      <c r="G58" s="1">
        <v>24.68</v>
      </c>
      <c r="H58" s="1">
        <v>30.5</v>
      </c>
      <c r="I58" s="1">
        <v>15.48</v>
      </c>
      <c r="J58" s="1">
        <v>69.599999999999994</v>
      </c>
      <c r="K58" s="1">
        <v>4383</v>
      </c>
      <c r="L58" s="1">
        <v>15.46</v>
      </c>
      <c r="N58" s="1">
        <f t="shared" si="0"/>
        <v>0.11302994968868044</v>
      </c>
    </row>
  </sheetData>
  <mergeCells count="1">
    <mergeCell ref="O27:O32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Waldelaine Hoffmann</dc:creator>
  <cp:lastModifiedBy>Waldelaine Hoffmann</cp:lastModifiedBy>
  <dcterms:created xsi:type="dcterms:W3CDTF">2026-06-16T12:18:23Z</dcterms:created>
  <dcterms:modified xsi:type="dcterms:W3CDTF">2026-06-18T20:33:15Z</dcterms:modified>
</cp:coreProperties>
</file>